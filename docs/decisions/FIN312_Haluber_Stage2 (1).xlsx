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 Hedging (Receivable" sheetId="1" r:id="rId5"/>
    <sheet state="visible" name="Transaction Hedging (Payables)" sheetId="2" r:id="rId6"/>
  </sheets>
  <definedNames>
    <definedName name="rate_us_1y_payable">'Transaction Hedging (Payables)'!$F$9</definedName>
    <definedName name="for_GBPUSD">'Transaction Hedging (Receivable'!$F$12</definedName>
    <definedName name="rate_uk_1y_payable">'Transaction Hedging (Payables)'!$F$10</definedName>
    <definedName name="recievable">'Transaction Hedging (Receivable'!$F$6</definedName>
    <definedName name="named_range">'Transaction Hedging (Payables)'!$G$15</definedName>
    <definedName name="fv_put_outlay">'Transaction Hedging (Receivable'!$F$28</definedName>
    <definedName name="put_price">'Transaction Hedging (Receivable'!$F$15</definedName>
    <definedName name="call_price">'Transaction Hedging (Payables)'!$F$15</definedName>
    <definedName name="future_spot_price_payable">'Transaction Hedging (Payables)'!$C$35:$C$47</definedName>
    <definedName name="call_strike">'Transaction Hedging (Payables)'!$F$14</definedName>
    <definedName name="current_spot_price_payable">'Transaction Hedging (Payables)'!$F$7</definedName>
    <definedName name="contract_notional_value_payable">'Transaction Hedging (Payables)'!$F$6</definedName>
    <definedName name="x_put">'Transaction Hedging (Receivable'!$F$14</definedName>
    <definedName name="gbpusd_1y_scenario">'Transaction Hedging (Receivable'!$C$33:$C$45</definedName>
    <definedName name="forward_price_payable">'Transaction Hedging (Payables)'!$F$12</definedName>
    <definedName name="hedge_no">'Transaction Hedging (Receivable'!$D$33:$D$45</definedName>
  </definedNames>
  <calcPr/>
</workbook>
</file>

<file path=xl/sharedStrings.xml><?xml version="1.0" encoding="utf-8"?>
<sst xmlns="http://schemas.openxmlformats.org/spreadsheetml/2006/main" count="96" uniqueCount="56">
  <si>
    <r>
      <rPr>
        <rFont val="Arial"/>
        <b/>
        <color theme="1"/>
        <sz val="18.0"/>
      </rPr>
      <t xml:space="preserve">Hedging Foreign Currency </t>
    </r>
    <r>
      <rPr>
        <rFont val="Arial"/>
        <b/>
        <color theme="1"/>
        <sz val="18.0"/>
        <u/>
      </rPr>
      <t>Receivables</t>
    </r>
  </si>
  <si>
    <r>
      <rPr>
        <rFont val="Arial"/>
        <color theme="1"/>
        <sz val="18.0"/>
      </rPr>
      <t xml:space="preserve">Suppose Boeing Corporation exported a landing gear of Boeing 737 aircraft to British Airways and billed £10 million </t>
    </r>
    <r>
      <rPr>
        <rFont val="Arial"/>
        <b/>
        <color theme="1"/>
        <sz val="18.0"/>
      </rPr>
      <t xml:space="preserve">receivable in one year.
</t>
    </r>
  </si>
  <si>
    <t>Given</t>
  </si>
  <si>
    <t xml:space="preserve">Variables </t>
  </si>
  <si>
    <t>Key</t>
  </si>
  <si>
    <t>1-Year Receivable</t>
  </si>
  <si>
    <t>Editable</t>
  </si>
  <si>
    <t>Current GBP/USD Spot Exchange Rate</t>
  </si>
  <si>
    <t>Outcome</t>
  </si>
  <si>
    <t>Money Market</t>
  </si>
  <si>
    <t>Formulas</t>
  </si>
  <si>
    <t>U.S. 1-Year Interest Rate (domestic)</t>
  </si>
  <si>
    <t>U.K. 1-Year Interest Rate (foreign)</t>
  </si>
  <si>
    <t>Forwards</t>
  </si>
  <si>
    <t>GBP/USD 1-Year Forward Exchange Rate</t>
  </si>
  <si>
    <t>Options</t>
  </si>
  <si>
    <t>GBP/USD Put Strike Price</t>
  </si>
  <si>
    <t>GBP/USD Put Price</t>
  </si>
  <si>
    <t>1. Forward Hedge</t>
  </si>
  <si>
    <r>
      <rPr>
        <rFont val="Arial"/>
        <color theme="1"/>
        <sz val="18.0"/>
      </rPr>
      <t xml:space="preserve">[a] </t>
    </r>
    <r>
      <rPr>
        <rFont val="Arial"/>
        <b/>
        <color theme="1"/>
        <sz val="18.0"/>
      </rPr>
      <t>Sell</t>
    </r>
    <r>
      <rPr>
        <rFont val="Arial"/>
        <color theme="1"/>
        <sz val="18.0"/>
      </rPr>
      <t xml:space="preserve"> GBP/USD 1-Year Forward</t>
    </r>
  </si>
  <si>
    <t xml:space="preserve">&lt;-- LOCKED IN: in one year we will have this amount </t>
  </si>
  <si>
    <t>2. Money Market Hedge</t>
  </si>
  <si>
    <t>[a] Borrow the discounted present value of the foreign receivable</t>
  </si>
  <si>
    <t>[b] Convert [a] into domestic at the current spot exchange</t>
  </si>
  <si>
    <t>[c] Invest [b] at the prevailing domestic interest rate</t>
  </si>
  <si>
    <t>3. Option Hedge</t>
  </si>
  <si>
    <r>
      <rPr>
        <rFont val="Arial"/>
        <color theme="1"/>
        <sz val="18.0"/>
      </rPr>
      <t xml:space="preserve">[a] Buy </t>
    </r>
    <r>
      <rPr>
        <rFont val="Arial"/>
        <b/>
        <color theme="1"/>
        <sz val="18.0"/>
      </rPr>
      <t>puts</t>
    </r>
  </si>
  <si>
    <t>[b] Determine 1-year future value equivalent of [a]</t>
  </si>
  <si>
    <t>&lt;-- LOWEST: variable amount depends on where GBP/USD spot ends up in 1 year</t>
  </si>
  <si>
    <t>GBP/USD
Spot Exchange Rate
(scenarios in 1 year)</t>
  </si>
  <si>
    <t>In one year, we receive</t>
  </si>
  <si>
    <t>Hedge Profit (Loss) vs. No Hedge</t>
  </si>
  <si>
    <t>Winner</t>
  </si>
  <si>
    <t>0. No Hedge</t>
  </si>
  <si>
    <t>1. Forward Hedge
(F - St) x Notional Value</t>
  </si>
  <si>
    <t>of Hedge / No Hedge</t>
  </si>
  <si>
    <t>of Hedges</t>
  </si>
  <si>
    <t>Future Spot Price</t>
  </si>
  <si>
    <t>&lt;-- Worse (GBP depreciates)</t>
  </si>
  <si>
    <t>&lt;-- baseline</t>
  </si>
  <si>
    <t>&lt;-- Better (GBP appreciates)</t>
  </si>
  <si>
    <r>
      <rPr>
        <rFont val="Arial"/>
        <b/>
        <color theme="1"/>
        <sz val="18.0"/>
      </rPr>
      <t xml:space="preserve">Hedging Foreign Currency </t>
    </r>
    <r>
      <rPr>
        <rFont val="Arial"/>
        <b/>
        <color theme="1"/>
        <sz val="18.0"/>
        <u/>
      </rPr>
      <t>Payables</t>
    </r>
  </si>
  <si>
    <r>
      <rPr>
        <rFont val="Arial"/>
        <color theme="1"/>
        <sz val="18.0"/>
      </rPr>
      <t xml:space="preserve">Suppose Boeing imported a Rolls-Royce jet engine for </t>
    </r>
    <r>
      <rPr>
        <rFont val="Arial"/>
        <b/>
        <color theme="1"/>
        <sz val="18.0"/>
      </rPr>
      <t xml:space="preserve">£5 million payable in one year
</t>
    </r>
  </si>
  <si>
    <t>GBP/USD Call Strike Price</t>
  </si>
  <si>
    <t>GBP/USD Call Price</t>
  </si>
  <si>
    <r>
      <rPr>
        <rFont val="Arial"/>
        <color theme="1"/>
        <sz val="18.0"/>
      </rPr>
      <t xml:space="preserve">[a] </t>
    </r>
    <r>
      <rPr>
        <rFont val="Arial"/>
        <b/>
        <color theme="1"/>
        <sz val="18.0"/>
      </rPr>
      <t>Buy</t>
    </r>
    <r>
      <rPr>
        <rFont val="Arial"/>
        <color theme="1"/>
        <sz val="18.0"/>
      </rPr>
      <t xml:space="preserve"> GBP/USD 1-Year Forward</t>
    </r>
  </si>
  <si>
    <t>[a] Determine present value of the foreign payable</t>
  </si>
  <si>
    <t>[b] Calculate [a] into domestic at the current spot exchange &amp; Borrow</t>
  </si>
  <si>
    <t>[c] Convert [b] into foreign currency at the current spot exchange</t>
  </si>
  <si>
    <t>[d] Recieve in 1-year and make payment</t>
  </si>
  <si>
    <t>[e] Future Value of expense at the prevailing domestic interest rate</t>
  </si>
  <si>
    <r>
      <rPr>
        <rFont val="Arial"/>
        <color theme="1"/>
        <sz val="18.0"/>
      </rPr>
      <t xml:space="preserve">[a] Buy </t>
    </r>
    <r>
      <rPr>
        <rFont val="Arial"/>
        <b/>
        <color theme="1"/>
        <sz val="18.0"/>
      </rPr>
      <t>call</t>
    </r>
  </si>
  <si>
    <t>&lt;-- HIGHEST: variable amount depends on where GBP/USD spot ends up in 1 year</t>
  </si>
  <si>
    <t>In one year, we pay</t>
  </si>
  <si>
    <t>&lt;-- Better (GBP depreciates)</t>
  </si>
  <si>
    <t>&lt;-- Worse (GBP appreciates)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</si>
</sst>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£]#,##0"/>
    <numFmt numFmtId="165" formatCode="&quot;$&quot;#,##0.00"/>
    <numFmt numFmtId="166" formatCode="&quot;$&quot;#,##0"/>
  </numFmts>
  <fonts count="9">
    <font>
      <sz val="10.0"/>
      <color rgb="FF000000"/>
      <name val="Arial"/>
      <scheme val="minor"/>
    </font>
    <font>
      <sz val="18.0"/>
      <color theme="1"/>
      <name val="Arial"/>
    </font>
    <font>
      <b/>
      <sz val="18.0"/>
      <color theme="1"/>
      <name val="Arial"/>
    </font>
    <font/>
    <font>
      <b/>
      <sz val="18.0"/>
      <color rgb="FF000000"/>
      <name val="Inconsolata"/>
    </font>
    <font>
      <u/>
      <sz val="18.0"/>
      <color theme="1"/>
      <name val="Arial"/>
    </font>
    <font>
      <b/>
      <sz val="18.0"/>
      <color rgb="FF0000FF"/>
      <name val="Arial"/>
    </font>
    <font>
      <sz val="18.0"/>
      <color rgb="FF0000FF"/>
      <name val="Arial"/>
    </font>
    <font>
      <sz val="22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67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ck">
        <color rgb="FF000000"/>
      </left>
      <top style="thick">
        <color rgb="FF000000"/>
      </top>
      <bottom style="thin">
        <color rgb="FFFFFFFF"/>
      </bottom>
    </border>
    <border>
      <top style="thick">
        <color rgb="FF000000"/>
      </top>
      <bottom style="thin">
        <color rgb="FFFFFFFF"/>
      </bottom>
    </border>
    <border>
      <right style="thick">
        <color rgb="FF000000"/>
      </right>
      <top style="thick">
        <color rgb="FF000000"/>
      </top>
      <bottom style="thin">
        <color rgb="FFFFFFFF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</border>
    <border>
      <right style="thin">
        <color rgb="FFFFFFFF"/>
      </right>
      <bottom style="thin">
        <color rgb="FFFFFFFF"/>
      </bottom>
    </border>
    <border>
      <left style="thick">
        <color rgb="FF000000"/>
      </left>
      <right style="thin">
        <color rgb="FFFFFFFF"/>
      </right>
      <top style="thin">
        <color rgb="FFFFFFFF"/>
      </top>
      <bottom style="thick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000000"/>
      </bottom>
    </border>
    <border>
      <left style="thin">
        <color rgb="FFFFFFFF"/>
      </left>
      <right style="thick">
        <color rgb="FF000000"/>
      </right>
      <top style="thin">
        <color rgb="FFFFFFFF"/>
      </top>
      <bottom style="thick">
        <color rgb="FF000000"/>
      </bottom>
    </border>
    <border>
      <left style="thin">
        <color rgb="FFFFFFFF"/>
      </left>
      <right style="thin">
        <color rgb="FFFFFFFF"/>
      </right>
    </border>
    <border>
      <left style="dotted">
        <color rgb="FF000000"/>
      </left>
      <top style="dotted">
        <color rgb="FF000000"/>
      </top>
      <bottom style="thin">
        <color rgb="FFFFFFFF"/>
      </bottom>
    </border>
    <border>
      <top style="dotted">
        <color rgb="FF000000"/>
      </top>
      <bottom style="thin">
        <color rgb="FFFFFFFF"/>
      </bottom>
    </border>
    <border>
      <right style="dotted">
        <color rgb="FF000000"/>
      </right>
      <top style="dotted">
        <color rgb="FF000000"/>
      </top>
      <bottom style="thin">
        <color rgb="FFFFFFFF"/>
      </bottom>
    </border>
    <border>
      <left style="dotted">
        <color rgb="FF000000"/>
      </left>
      <top style="thin">
        <color rgb="FFFFFFFF"/>
      </top>
      <bottom style="dotted">
        <color rgb="FF000000"/>
      </bottom>
    </border>
    <border>
      <top style="thin">
        <color rgb="FFFFFFFF"/>
      </top>
      <bottom style="dotted">
        <color rgb="FF000000"/>
      </bottom>
    </border>
    <border>
      <right style="thin">
        <color rgb="FFFFFFFF"/>
      </right>
      <top style="thin">
        <color rgb="FFFFFFFF"/>
      </top>
      <bottom style="dotted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000000"/>
      </bottom>
    </border>
    <border>
      <left style="thin">
        <color rgb="FFFFFFFF"/>
      </left>
      <top style="thin">
        <color rgb="FFFFFFFF"/>
      </top>
      <bottom style="dotted">
        <color rgb="FF000000"/>
      </bottom>
    </border>
    <border>
      <right style="dotted">
        <color rgb="FF000000"/>
      </right>
      <top style="thin">
        <color rgb="FFFFFFFF"/>
      </top>
      <bottom style="dotted">
        <color rgb="FF000000"/>
      </bottom>
    </border>
    <border>
      <left style="dotted">
        <color rgb="FF000000"/>
      </left>
      <top style="thin">
        <color rgb="FFFFFFFF"/>
      </top>
      <bottom style="thin">
        <color rgb="FFFFFFFF"/>
      </bottom>
    </border>
    <border>
      <right style="dotted">
        <color rgb="FF000000"/>
      </right>
      <top style="thin">
        <color rgb="FFFFFFFF"/>
      </top>
      <bottom style="thin">
        <color rgb="FFFFFFFF"/>
      </bottom>
    </border>
    <border>
      <left style="dotted">
        <color rgb="FF000000"/>
      </left>
      <right style="thin">
        <color rgb="FFFFFFFF"/>
      </right>
      <top style="thin">
        <color rgb="FFFFFFFF"/>
      </top>
      <bottom style="dotted">
        <color rgb="FF000000"/>
      </bottom>
    </border>
    <border>
      <left style="thin">
        <color rgb="FFFFFFFF"/>
      </left>
      <right style="dotted">
        <color rgb="FF000000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FFFFFF"/>
      </bottom>
    </border>
    <border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000000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medium">
        <color rgb="FF000000"/>
      </left>
      <top style="medium">
        <color rgb="FF000000"/>
      </top>
      <bottom style="thin">
        <color rgb="FFFFFFFF"/>
      </bottom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FFFFFF"/>
      </right>
      <top style="medium">
        <color rgb="FF000000"/>
      </top>
      <bottom style="thin">
        <color rgb="FFFFFFFF"/>
      </bottom>
    </border>
    <border>
      <left style="thin">
        <color rgb="FFFFFFFF"/>
      </left>
      <right style="medium">
        <color rgb="FF000000"/>
      </right>
      <top style="medium">
        <color rgb="FF000000"/>
      </top>
      <bottom style="thin">
        <color rgb="FFFFFFFF"/>
      </bottom>
    </border>
    <border>
      <left style="thin">
        <color rgb="FFFFFFFF"/>
      </left>
    </border>
    <border>
      <left style="medium">
        <color rgb="FF000000"/>
      </left>
      <top style="thin">
        <color rgb="FFFFFFFF"/>
      </top>
      <bottom style="thin">
        <color rgb="FFFFFFFF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FFFFFF"/>
      </left>
      <right style="medium">
        <color rgb="FF000000"/>
      </right>
      <top style="thin">
        <color rgb="FFFFFFFF"/>
      </top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left style="medium">
        <color rgb="FF000000"/>
      </left>
      <top style="thin">
        <color rgb="FFFFFFFF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FFFFFF"/>
      </right>
      <top style="thin">
        <color rgb="FFFFFFFF"/>
      </top>
      <bottom style="medium">
        <color rgb="FF000000"/>
      </bottom>
    </border>
    <border>
      <left style="thin">
        <color rgb="FFFFFFFF"/>
      </left>
      <right style="medium">
        <color rgb="FF000000"/>
      </right>
      <top style="thin">
        <color rgb="FFFFFFFF"/>
      </top>
      <bottom style="medium">
        <color rgb="FF000000"/>
      </bottom>
    </border>
    <border>
      <left style="thin">
        <color rgb="FF000000"/>
      </left>
      <right style="thin">
        <color rgb="FFFFFFFF"/>
      </right>
      <top style="medium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medium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medium">
        <color rgb="FF000000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medium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medium">
        <color rgb="FF000000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1" fillId="0" fontId="1" numFmtId="0" xfId="0" applyAlignment="1" applyBorder="1" applyFont="1">
      <alignment vertical="top"/>
    </xf>
    <xf borderId="1" fillId="0" fontId="2" numFmtId="0" xfId="0" applyAlignment="1" applyBorder="1" applyFont="1">
      <alignment vertical="top"/>
    </xf>
    <xf borderId="2" fillId="0" fontId="1" numFmtId="0" xfId="0" applyAlignment="1" applyBorder="1" applyFont="1">
      <alignment vertical="top"/>
    </xf>
    <xf borderId="3" fillId="0" fontId="3" numFmtId="0" xfId="0" applyBorder="1" applyFont="1"/>
    <xf borderId="4" fillId="0" fontId="3" numFmtId="0" xfId="0" applyBorder="1" applyFont="1"/>
    <xf borderId="5" fillId="0" fontId="1" numFmtId="0" xfId="0" applyAlignment="1" applyBorder="1" applyFont="1">
      <alignment vertical="top"/>
    </xf>
    <xf borderId="6" fillId="2" fontId="2" numFmtId="0" xfId="0" applyAlignment="1" applyBorder="1" applyFill="1" applyFont="1">
      <alignment horizontal="center" vertical="top"/>
    </xf>
    <xf borderId="7" fillId="0" fontId="3" numFmtId="0" xfId="0" applyBorder="1" applyFont="1"/>
    <xf borderId="8" fillId="2" fontId="2" numFmtId="0" xfId="0" applyAlignment="1" applyBorder="1" applyFont="1">
      <alignment horizontal="center" vertical="top"/>
    </xf>
    <xf borderId="3" fillId="0" fontId="1" numFmtId="0" xfId="0" applyAlignment="1" applyBorder="1" applyFont="1">
      <alignment vertical="top"/>
    </xf>
    <xf borderId="9" fillId="0" fontId="2" numFmtId="0" xfId="0" applyAlignment="1" applyBorder="1" applyFont="1">
      <alignment horizontal="center"/>
    </xf>
    <xf borderId="4" fillId="0" fontId="1" numFmtId="0" xfId="0" applyAlignment="1" applyBorder="1" applyFont="1">
      <alignment vertical="top"/>
    </xf>
    <xf borderId="10" fillId="0" fontId="1" numFmtId="0" xfId="0" applyAlignment="1" applyBorder="1" applyFont="1">
      <alignment vertical="top"/>
    </xf>
    <xf borderId="1" fillId="0" fontId="1" numFmtId="164" xfId="0" applyAlignment="1" applyBorder="1" applyFont="1" applyNumberFormat="1">
      <alignment vertical="top"/>
    </xf>
    <xf borderId="11" fillId="3" fontId="1" numFmtId="164" xfId="0" applyAlignment="1" applyBorder="1" applyFill="1" applyFont="1" applyNumberFormat="1">
      <alignment readingOrder="0" vertical="top"/>
    </xf>
    <xf borderId="3" fillId="0" fontId="1" numFmtId="164" xfId="0" applyAlignment="1" applyBorder="1" applyFont="1" applyNumberFormat="1">
      <alignment vertical="top"/>
    </xf>
    <xf borderId="12" fillId="3" fontId="4" numFmtId="0" xfId="0" applyBorder="1" applyFont="1"/>
    <xf borderId="4" fillId="0" fontId="1" numFmtId="164" xfId="0" applyAlignment="1" applyBorder="1" applyFont="1" applyNumberFormat="1">
      <alignment vertical="top"/>
    </xf>
    <xf borderId="1" fillId="0" fontId="1" numFmtId="165" xfId="0" applyAlignment="1" applyBorder="1" applyFont="1" applyNumberFormat="1">
      <alignment vertical="top"/>
    </xf>
    <xf borderId="11" fillId="3" fontId="1" numFmtId="165" xfId="0" applyAlignment="1" applyBorder="1" applyFont="1" applyNumberFormat="1">
      <alignment vertical="top"/>
    </xf>
    <xf borderId="3" fillId="0" fontId="1" numFmtId="166" xfId="0" applyAlignment="1" applyBorder="1" applyFont="1" applyNumberFormat="1">
      <alignment vertical="top"/>
    </xf>
    <xf borderId="12" fillId="4" fontId="4" numFmtId="0" xfId="0" applyBorder="1" applyFill="1" applyFont="1"/>
    <xf borderId="10" fillId="0" fontId="5" numFmtId="0" xfId="0" applyAlignment="1" applyBorder="1" applyFont="1">
      <alignment vertical="top"/>
    </xf>
    <xf borderId="1" fillId="0" fontId="1" numFmtId="10" xfId="0" applyAlignment="1" applyBorder="1" applyFont="1" applyNumberFormat="1">
      <alignment vertical="top"/>
    </xf>
    <xf borderId="11" fillId="5" fontId="1" numFmtId="10" xfId="0" applyAlignment="1" applyBorder="1" applyFill="1" applyFont="1" applyNumberFormat="1">
      <alignment vertical="top"/>
    </xf>
    <xf borderId="13" fillId="0" fontId="6" numFmtId="164" xfId="0" applyAlignment="1" applyBorder="1" applyFont="1" applyNumberFormat="1">
      <alignment vertical="top"/>
    </xf>
    <xf borderId="11" fillId="3" fontId="1" numFmtId="10" xfId="0" applyAlignment="1" applyBorder="1" applyFont="1" applyNumberFormat="1">
      <alignment vertical="top"/>
    </xf>
    <xf borderId="14" fillId="0" fontId="1" numFmtId="0" xfId="0" applyAlignment="1" applyBorder="1" applyFont="1">
      <alignment vertical="top"/>
    </xf>
    <xf borderId="11" fillId="5" fontId="1" numFmtId="165" xfId="0" applyAlignment="1" applyBorder="1" applyFont="1" applyNumberFormat="1">
      <alignment vertical="top"/>
    </xf>
    <xf borderId="11" fillId="5" fontId="1" numFmtId="0" xfId="0" applyAlignment="1" applyBorder="1" applyFont="1">
      <alignment vertical="top"/>
    </xf>
    <xf borderId="10" fillId="0" fontId="1" numFmtId="0" xfId="0" applyBorder="1" applyFont="1"/>
    <xf borderId="1" fillId="0" fontId="1" numFmtId="165" xfId="0" applyBorder="1" applyFont="1" applyNumberFormat="1"/>
    <xf borderId="11" fillId="3" fontId="1" numFmtId="165" xfId="0" applyBorder="1" applyFont="1" applyNumberFormat="1"/>
    <xf borderId="15" fillId="0" fontId="1" numFmtId="0" xfId="0" applyAlignment="1" applyBorder="1" applyFont="1">
      <alignment vertical="top"/>
    </xf>
    <xf borderId="16" fillId="0" fontId="1" numFmtId="165" xfId="0" applyAlignment="1" applyBorder="1" applyFont="1" applyNumberFormat="1">
      <alignment vertical="top"/>
    </xf>
    <xf borderId="17" fillId="3" fontId="1" numFmtId="165" xfId="0" applyAlignment="1" applyBorder="1" applyFont="1" applyNumberFormat="1">
      <alignment vertical="top"/>
    </xf>
    <xf borderId="1" fillId="0" fontId="1" numFmtId="0" xfId="0" applyBorder="1" applyFont="1"/>
    <xf borderId="18" fillId="0" fontId="1" numFmtId="0" xfId="0" applyAlignment="1" applyBorder="1" applyFont="1">
      <alignment vertical="top"/>
    </xf>
    <xf borderId="5" fillId="0" fontId="1" numFmtId="166" xfId="0" applyAlignment="1" applyBorder="1" applyFont="1" applyNumberFormat="1">
      <alignment vertical="top"/>
    </xf>
    <xf borderId="5" fillId="0" fontId="1" numFmtId="0" xfId="0" applyBorder="1" applyFont="1"/>
    <xf borderId="19" fillId="2" fontId="2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0" fontId="1" numFmtId="0" xfId="0" applyAlignment="1" applyBorder="1" applyFont="1">
      <alignment vertical="top"/>
    </xf>
    <xf borderId="23" fillId="0" fontId="3" numFmtId="0" xfId="0" applyBorder="1" applyFont="1"/>
    <xf borderId="24" fillId="0" fontId="3" numFmtId="0" xfId="0" applyBorder="1" applyFont="1"/>
    <xf borderId="25" fillId="4" fontId="6" numFmtId="166" xfId="0" applyAlignment="1" applyBorder="1" applyFont="1" applyNumberFormat="1">
      <alignment vertical="top"/>
    </xf>
    <xf borderId="26" fillId="0" fontId="2" numFmtId="0" xfId="0" applyAlignment="1" applyBorder="1" applyFont="1">
      <alignment vertical="top"/>
    </xf>
    <xf borderId="27" fillId="0" fontId="3" numFmtId="0" xfId="0" applyBorder="1" applyFont="1"/>
    <xf borderId="18" fillId="0" fontId="1" numFmtId="166" xfId="0" applyAlignment="1" applyBorder="1" applyFont="1" applyNumberFormat="1">
      <alignment vertical="top"/>
    </xf>
    <xf borderId="19" fillId="2" fontId="2" numFmtId="0" xfId="0" applyAlignment="1" applyBorder="1" applyFont="1">
      <alignment vertical="top"/>
    </xf>
    <xf borderId="28" fillId="0" fontId="1" numFmtId="0" xfId="0" applyAlignment="1" applyBorder="1" applyFont="1">
      <alignment vertical="top"/>
    </xf>
    <xf borderId="1" fillId="0" fontId="7" numFmtId="164" xfId="0" applyAlignment="1" applyBorder="1" applyFont="1" applyNumberFormat="1">
      <alignment vertical="top"/>
    </xf>
    <xf borderId="29" fillId="0" fontId="3" numFmtId="0" xfId="0" applyBorder="1" applyFont="1"/>
    <xf borderId="1" fillId="0" fontId="7" numFmtId="166" xfId="0" applyAlignment="1" applyBorder="1" applyFont="1" applyNumberFormat="1">
      <alignment vertical="top"/>
    </xf>
    <xf borderId="30" fillId="0" fontId="1" numFmtId="0" xfId="0" applyAlignment="1" applyBorder="1" applyFont="1">
      <alignment vertical="top"/>
    </xf>
    <xf borderId="25" fillId="5" fontId="2" numFmtId="0" xfId="0" applyAlignment="1" applyBorder="1" applyFont="1">
      <alignment vertical="top"/>
    </xf>
    <xf borderId="31" fillId="0" fontId="1" numFmtId="0" xfId="0" applyAlignment="1" applyBorder="1" applyFont="1">
      <alignment vertical="top"/>
    </xf>
    <xf borderId="25" fillId="0" fontId="1" numFmtId="0" xfId="0" applyAlignment="1" applyBorder="1" applyFont="1">
      <alignment vertical="top"/>
    </xf>
    <xf borderId="25" fillId="4" fontId="6" numFmtId="166" xfId="0" applyAlignment="1" applyBorder="1" applyFont="1" applyNumberFormat="1">
      <alignment horizontal="right" vertical="top"/>
    </xf>
    <xf borderId="32" fillId="0" fontId="1" numFmtId="0" xfId="0" applyAlignment="1" applyBorder="1" applyFont="1">
      <alignment vertical="top"/>
    </xf>
    <xf borderId="33" fillId="2" fontId="2" numFmtId="0" xfId="0" applyAlignment="1" applyBorder="1" applyFont="1">
      <alignment horizontal="center" vertical="top"/>
    </xf>
    <xf borderId="34" fillId="0" fontId="2" numFmtId="0" xfId="0" applyAlignment="1" applyBorder="1" applyFont="1">
      <alignment horizontal="center" vertical="top"/>
    </xf>
    <xf borderId="35" fillId="0" fontId="3" numFmtId="0" xfId="0" applyBorder="1" applyFont="1"/>
    <xf borderId="36" fillId="0" fontId="3" numFmtId="0" xfId="0" applyBorder="1" applyFont="1"/>
    <xf borderId="34" fillId="6" fontId="2" numFmtId="0" xfId="0" applyAlignment="1" applyBorder="1" applyFill="1" applyFont="1">
      <alignment horizontal="center" vertical="top"/>
    </xf>
    <xf borderId="37" fillId="0" fontId="3" numFmtId="0" xfId="0" applyBorder="1" applyFont="1"/>
    <xf borderId="38" fillId="0" fontId="2" numFmtId="0" xfId="0" applyAlignment="1" applyBorder="1" applyFont="1">
      <alignment horizontal="center" vertical="top"/>
    </xf>
    <xf borderId="5" fillId="0" fontId="2" numFmtId="0" xfId="0" applyAlignment="1" applyBorder="1" applyFont="1">
      <alignment horizontal="center" vertical="top"/>
    </xf>
    <xf borderId="0" fillId="0" fontId="2" numFmtId="0" xfId="0" applyAlignment="1" applyFont="1">
      <alignment horizontal="center" vertical="top"/>
    </xf>
    <xf borderId="39" fillId="0" fontId="2" numFmtId="166" xfId="0" applyAlignment="1" applyBorder="1" applyFont="1" applyNumberFormat="1">
      <alignment horizontal="center" vertical="top"/>
    </xf>
    <xf borderId="38" fillId="6" fontId="2" numFmtId="166" xfId="0" applyAlignment="1" applyBorder="1" applyFont="1" applyNumberFormat="1">
      <alignment horizontal="center" vertical="top"/>
    </xf>
    <xf borderId="0" fillId="6" fontId="2" numFmtId="0" xfId="0" applyAlignment="1" applyFont="1">
      <alignment horizontal="center" vertical="top"/>
    </xf>
    <xf borderId="39" fillId="6" fontId="2" numFmtId="166" xfId="0" applyAlignment="1" applyBorder="1" applyFont="1" applyNumberFormat="1">
      <alignment horizontal="center" vertical="top"/>
    </xf>
    <xf borderId="39" fillId="0" fontId="2" numFmtId="0" xfId="0" applyAlignment="1" applyBorder="1" applyFont="1">
      <alignment horizontal="center" vertical="top"/>
    </xf>
    <xf borderId="0" fillId="0" fontId="2" numFmtId="0" xfId="0" applyAlignment="1" applyFont="1">
      <alignment horizontal="center" textRotation="90" vertical="center"/>
    </xf>
    <xf borderId="40" fillId="0" fontId="2" numFmtId="0" xfId="0" applyAlignment="1" applyBorder="1" applyFont="1">
      <alignment horizontal="center" textRotation="90" vertical="center"/>
    </xf>
    <xf borderId="41" fillId="2" fontId="1" numFmtId="165" xfId="0" applyAlignment="1" applyBorder="1" applyFont="1" applyNumberFormat="1">
      <alignment vertical="top"/>
    </xf>
    <xf borderId="42" fillId="0" fontId="7" numFmtId="166" xfId="0" applyAlignment="1" applyBorder="1" applyFont="1" applyNumberFormat="1">
      <alignment vertical="top"/>
    </xf>
    <xf borderId="43" fillId="0" fontId="7" numFmtId="166" xfId="0" applyAlignment="1" applyBorder="1" applyFont="1" applyNumberFormat="1">
      <alignment vertical="top"/>
    </xf>
    <xf borderId="43" fillId="0" fontId="7" numFmtId="166" xfId="0" applyBorder="1" applyFont="1" applyNumberFormat="1"/>
    <xf borderId="44" fillId="0" fontId="7" numFmtId="166" xfId="0" applyBorder="1" applyFont="1" applyNumberFormat="1"/>
    <xf borderId="42" fillId="6" fontId="7" numFmtId="166" xfId="0" applyAlignment="1" applyBorder="1" applyFont="1" applyNumberFormat="1">
      <alignment vertical="top"/>
    </xf>
    <xf borderId="43" fillId="6" fontId="7" numFmtId="166" xfId="0" applyAlignment="1" applyBorder="1" applyFont="1" applyNumberFormat="1">
      <alignment vertical="top"/>
    </xf>
    <xf borderId="44" fillId="6" fontId="7" numFmtId="166" xfId="0" applyAlignment="1" applyBorder="1" applyFont="1" applyNumberFormat="1">
      <alignment vertical="top"/>
    </xf>
    <xf borderId="45" fillId="0" fontId="7" numFmtId="0" xfId="0" applyAlignment="1" applyBorder="1" applyFont="1">
      <alignment horizontal="center" vertical="top"/>
    </xf>
    <xf borderId="46" fillId="0" fontId="7" numFmtId="0" xfId="0" applyAlignment="1" applyBorder="1" applyFont="1">
      <alignment horizontal="center" vertical="top"/>
    </xf>
    <xf borderId="47" fillId="0" fontId="3" numFmtId="0" xfId="0" applyBorder="1" applyFont="1"/>
    <xf borderId="48" fillId="2" fontId="1" numFmtId="165" xfId="0" applyAlignment="1" applyBorder="1" applyFont="1" applyNumberFormat="1">
      <alignment vertical="top"/>
    </xf>
    <xf borderId="49" fillId="0" fontId="7" numFmtId="166" xfId="0" applyAlignment="1" applyBorder="1" applyFont="1" applyNumberFormat="1">
      <alignment vertical="top"/>
    </xf>
    <xf borderId="0" fillId="0" fontId="7" numFmtId="166" xfId="0" applyAlignment="1" applyFont="1" applyNumberFormat="1">
      <alignment vertical="top"/>
    </xf>
    <xf borderId="0" fillId="0" fontId="7" numFmtId="166" xfId="0" applyFont="1" applyNumberFormat="1"/>
    <xf borderId="50" fillId="0" fontId="7" numFmtId="166" xfId="0" applyBorder="1" applyFont="1" applyNumberFormat="1"/>
    <xf borderId="49" fillId="6" fontId="7" numFmtId="166" xfId="0" applyAlignment="1" applyBorder="1" applyFont="1" applyNumberFormat="1">
      <alignment vertical="top"/>
    </xf>
    <xf borderId="0" fillId="6" fontId="7" numFmtId="166" xfId="0" applyAlignment="1" applyFont="1" applyNumberFormat="1">
      <alignment vertical="top"/>
    </xf>
    <xf borderId="4" fillId="0" fontId="7" numFmtId="0" xfId="0" applyAlignment="1" applyBorder="1" applyFont="1">
      <alignment horizontal="center" vertical="top"/>
    </xf>
    <xf borderId="51" fillId="0" fontId="7" numFmtId="0" xfId="0" applyAlignment="1" applyBorder="1" applyFont="1">
      <alignment horizontal="center" vertical="top"/>
    </xf>
    <xf borderId="4" fillId="0" fontId="8" numFmtId="0" xfId="0" applyAlignment="1" applyBorder="1" applyFont="1">
      <alignment vertical="top"/>
    </xf>
    <xf borderId="51" fillId="0" fontId="7" numFmtId="166" xfId="0" applyAlignment="1" applyBorder="1" applyFont="1" applyNumberFormat="1">
      <alignment horizontal="center" vertical="top"/>
    </xf>
    <xf borderId="52" fillId="0" fontId="3" numFmtId="0" xfId="0" applyBorder="1" applyFont="1"/>
    <xf borderId="53" fillId="2" fontId="1" numFmtId="165" xfId="0" applyAlignment="1" applyBorder="1" applyFont="1" applyNumberFormat="1">
      <alignment vertical="top"/>
    </xf>
    <xf borderId="54" fillId="0" fontId="7" numFmtId="166" xfId="0" applyAlignment="1" applyBorder="1" applyFont="1" applyNumberFormat="1">
      <alignment vertical="top"/>
    </xf>
    <xf borderId="55" fillId="0" fontId="7" numFmtId="166" xfId="0" applyAlignment="1" applyBorder="1" applyFont="1" applyNumberFormat="1">
      <alignment vertical="top"/>
    </xf>
    <xf borderId="55" fillId="0" fontId="7" numFmtId="166" xfId="0" applyBorder="1" applyFont="1" applyNumberFormat="1"/>
    <xf borderId="56" fillId="0" fontId="7" numFmtId="166" xfId="0" applyBorder="1" applyFont="1" applyNumberFormat="1"/>
    <xf borderId="54" fillId="6" fontId="7" numFmtId="166" xfId="0" applyAlignment="1" applyBorder="1" applyFont="1" applyNumberFormat="1">
      <alignment vertical="top"/>
    </xf>
    <xf borderId="55" fillId="6" fontId="7" numFmtId="166" xfId="0" applyAlignment="1" applyBorder="1" applyFont="1" applyNumberFormat="1">
      <alignment vertical="top"/>
    </xf>
    <xf borderId="57" fillId="0" fontId="7" numFmtId="0" xfId="0" applyAlignment="1" applyBorder="1" applyFont="1">
      <alignment horizontal="center" vertical="top"/>
    </xf>
    <xf borderId="58" fillId="0" fontId="7" numFmtId="166" xfId="0" applyAlignment="1" applyBorder="1" applyFont="1" applyNumberFormat="1">
      <alignment horizontal="center" vertical="top"/>
    </xf>
    <xf borderId="11" fillId="3" fontId="1" numFmtId="164" xfId="0" applyAlignment="1" applyBorder="1" applyFont="1" applyNumberFormat="1">
      <alignment vertical="top"/>
    </xf>
    <xf borderId="32" fillId="0" fontId="1" numFmtId="166" xfId="0" applyAlignment="1" applyBorder="1" applyFont="1" applyNumberFormat="1">
      <alignment vertical="top"/>
    </xf>
    <xf borderId="59" fillId="0" fontId="7" numFmtId="166" xfId="0" applyAlignment="1" applyBorder="1" applyFont="1" applyNumberFormat="1">
      <alignment vertical="top"/>
    </xf>
    <xf borderId="60" fillId="0" fontId="7" numFmtId="166" xfId="0" applyAlignment="1" applyBorder="1" applyFont="1" applyNumberFormat="1">
      <alignment vertical="top"/>
    </xf>
    <xf borderId="60" fillId="0" fontId="7" numFmtId="166" xfId="0" applyBorder="1" applyFont="1" applyNumberFormat="1"/>
    <xf borderId="61" fillId="0" fontId="7" numFmtId="166" xfId="0" applyBorder="1" applyFont="1" applyNumberFormat="1"/>
    <xf borderId="59" fillId="6" fontId="7" numFmtId="166" xfId="0" applyAlignment="1" applyBorder="1" applyFont="1" applyNumberFormat="1">
      <alignment vertical="top"/>
    </xf>
    <xf borderId="60" fillId="6" fontId="7" numFmtId="166" xfId="0" applyAlignment="1" applyBorder="1" applyFont="1" applyNumberFormat="1">
      <alignment vertical="top"/>
    </xf>
    <xf borderId="61" fillId="6" fontId="7" numFmtId="166" xfId="0" applyAlignment="1" applyBorder="1" applyFont="1" applyNumberFormat="1">
      <alignment vertical="top"/>
    </xf>
    <xf borderId="59" fillId="0" fontId="7" numFmtId="0" xfId="0" applyAlignment="1" applyBorder="1" applyFont="1">
      <alignment horizontal="center" vertical="top"/>
    </xf>
    <xf borderId="46" fillId="0" fontId="7" numFmtId="166" xfId="0" applyAlignment="1" applyBorder="1" applyFont="1" applyNumberFormat="1">
      <alignment horizontal="center" vertical="top"/>
    </xf>
    <xf borderId="62" fillId="0" fontId="7" numFmtId="166" xfId="0" applyAlignment="1" applyBorder="1" applyFont="1" applyNumberFormat="1">
      <alignment vertical="top"/>
    </xf>
    <xf borderId="1" fillId="0" fontId="7" numFmtId="166" xfId="0" applyBorder="1" applyFont="1" applyNumberFormat="1"/>
    <xf borderId="63" fillId="0" fontId="7" numFmtId="166" xfId="0" applyBorder="1" applyFont="1" applyNumberFormat="1"/>
    <xf borderId="62" fillId="6" fontId="7" numFmtId="166" xfId="0" applyAlignment="1" applyBorder="1" applyFont="1" applyNumberFormat="1">
      <alignment vertical="top"/>
    </xf>
    <xf borderId="1" fillId="6" fontId="7" numFmtId="166" xfId="0" applyAlignment="1" applyBorder="1" applyFont="1" applyNumberFormat="1">
      <alignment vertical="top"/>
    </xf>
    <xf borderId="63" fillId="6" fontId="7" numFmtId="166" xfId="0" applyAlignment="1" applyBorder="1" applyFont="1" applyNumberFormat="1">
      <alignment vertical="top"/>
    </xf>
    <xf borderId="62" fillId="0" fontId="7" numFmtId="0" xfId="0" applyAlignment="1" applyBorder="1" applyFont="1">
      <alignment horizontal="center" vertical="top"/>
    </xf>
    <xf borderId="64" fillId="0" fontId="7" numFmtId="166" xfId="0" applyAlignment="1" applyBorder="1" applyFont="1" applyNumberFormat="1">
      <alignment vertical="top"/>
    </xf>
    <xf borderId="65" fillId="0" fontId="7" numFmtId="166" xfId="0" applyAlignment="1" applyBorder="1" applyFont="1" applyNumberFormat="1">
      <alignment vertical="top"/>
    </xf>
    <xf borderId="65" fillId="0" fontId="7" numFmtId="166" xfId="0" applyBorder="1" applyFont="1" applyNumberFormat="1"/>
    <xf borderId="66" fillId="0" fontId="7" numFmtId="166" xfId="0" applyBorder="1" applyFont="1" applyNumberFormat="1"/>
    <xf borderId="64" fillId="6" fontId="7" numFmtId="166" xfId="0" applyAlignment="1" applyBorder="1" applyFont="1" applyNumberFormat="1">
      <alignment vertical="top"/>
    </xf>
    <xf borderId="65" fillId="6" fontId="7" numFmtId="166" xfId="0" applyAlignment="1" applyBorder="1" applyFont="1" applyNumberFormat="1">
      <alignment vertical="top"/>
    </xf>
    <xf borderId="66" fillId="6" fontId="7" numFmtId="166" xfId="0" applyAlignment="1" applyBorder="1" applyFont="1" applyNumberFormat="1">
      <alignment vertical="top"/>
    </xf>
    <xf borderId="64" fillId="0" fontId="7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0"/>
    <col customWidth="1" min="2" max="2" width="4.5"/>
    <col customWidth="1" min="3" max="3" width="43.63"/>
    <col customWidth="1" min="4" max="4" width="33.5"/>
    <col customWidth="1" min="5" max="5" width="26.13"/>
    <col customWidth="1" min="6" max="6" width="34.38"/>
    <col customWidth="1" min="7" max="7" width="31.38"/>
    <col customWidth="1" min="8" max="8" width="48.5"/>
    <col customWidth="1" min="9" max="9" width="34.38"/>
    <col customWidth="1" min="10" max="10" width="24.0"/>
    <col customWidth="1" min="11" max="11" width="33.0"/>
    <col customWidth="1" min="12" max="12" width="33.13"/>
    <col customWidth="1" min="13" max="13" width="39.75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75" customHeight="1">
      <c r="A2" s="1"/>
      <c r="B2" s="2"/>
      <c r="C2" s="3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ht="15.75" customHeight="1">
      <c r="A3" s="1"/>
      <c r="B3" s="2"/>
      <c r="C3" s="4" t="s">
        <v>1</v>
      </c>
      <c r="D3" s="5"/>
      <c r="E3" s="5"/>
      <c r="F3" s="5"/>
      <c r="G3" s="5"/>
      <c r="H3" s="5"/>
      <c r="I3" s="5"/>
      <c r="J3" s="6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ht="15.75" customHeight="1">
      <c r="A4" s="1"/>
      <c r="B4" s="2"/>
      <c r="C4" s="7"/>
      <c r="D4" s="7"/>
      <c r="E4" s="7"/>
      <c r="F4" s="7"/>
      <c r="G4" s="2"/>
      <c r="H4" s="7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ht="15.75" customHeight="1">
      <c r="A5" s="1"/>
      <c r="B5" s="4"/>
      <c r="C5" s="8" t="s">
        <v>2</v>
      </c>
      <c r="D5" s="9"/>
      <c r="E5" s="9"/>
      <c r="F5" s="10" t="s">
        <v>3</v>
      </c>
      <c r="G5" s="11"/>
      <c r="H5" s="12" t="s">
        <v>4</v>
      </c>
      <c r="I5" s="1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ht="15.75" customHeight="1">
      <c r="A6" s="1"/>
      <c r="B6" s="4"/>
      <c r="C6" s="14" t="s">
        <v>5</v>
      </c>
      <c r="D6" s="15"/>
      <c r="E6" s="15"/>
      <c r="F6" s="16"/>
      <c r="G6" s="17"/>
      <c r="H6" s="18" t="s">
        <v>6</v>
      </c>
      <c r="I6" s="19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ht="15.75" customHeight="1">
      <c r="A7" s="1"/>
      <c r="B7" s="4"/>
      <c r="C7" s="14" t="s">
        <v>7</v>
      </c>
      <c r="D7" s="20"/>
      <c r="E7" s="20"/>
      <c r="F7" s="21"/>
      <c r="G7" s="22"/>
      <c r="H7" s="23" t="s">
        <v>8</v>
      </c>
      <c r="I7" s="1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ht="15.75" customHeight="1">
      <c r="A8" s="1"/>
      <c r="B8" s="4"/>
      <c r="C8" s="24" t="s">
        <v>9</v>
      </c>
      <c r="D8" s="25"/>
      <c r="E8" s="25"/>
      <c r="F8" s="26"/>
      <c r="G8" s="13"/>
      <c r="H8" s="27" t="s">
        <v>10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ht="15.75" customHeight="1">
      <c r="A9" s="1"/>
      <c r="B9" s="4"/>
      <c r="C9" s="14" t="s">
        <v>11</v>
      </c>
      <c r="D9" s="25"/>
      <c r="E9" s="25"/>
      <c r="F9" s="28"/>
      <c r="G9" s="1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ht="15.75" customHeight="1">
      <c r="A10" s="1"/>
      <c r="B10" s="4"/>
      <c r="C10" s="14" t="s">
        <v>12</v>
      </c>
      <c r="D10" s="25"/>
      <c r="E10" s="25"/>
      <c r="F10" s="28"/>
      <c r="G10" s="29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ht="15.75" customHeight="1">
      <c r="A11" s="1"/>
      <c r="B11" s="4"/>
      <c r="C11" s="24" t="s">
        <v>13</v>
      </c>
      <c r="D11" s="20"/>
      <c r="E11" s="20"/>
      <c r="F11" s="30"/>
      <c r="G11" s="1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ht="15.75" customHeight="1">
      <c r="A12" s="1"/>
      <c r="B12" s="4"/>
      <c r="C12" s="14" t="s">
        <v>14</v>
      </c>
      <c r="D12" s="20"/>
      <c r="E12" s="20"/>
      <c r="F12" s="21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ht="15.75" customHeight="1">
      <c r="A13" s="1"/>
      <c r="B13" s="4"/>
      <c r="C13" s="24" t="s">
        <v>15</v>
      </c>
      <c r="D13" s="2"/>
      <c r="E13" s="2"/>
      <c r="F13" s="31"/>
      <c r="G13" s="1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ht="15.75" customHeight="1">
      <c r="A14" s="1"/>
      <c r="B14" s="4"/>
      <c r="C14" s="32" t="s">
        <v>16</v>
      </c>
      <c r="D14" s="33"/>
      <c r="E14" s="33"/>
      <c r="F14" s="34"/>
      <c r="G14" s="1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ht="15.75" customHeight="1">
      <c r="A15" s="1"/>
      <c r="B15" s="4"/>
      <c r="C15" s="35" t="s">
        <v>17</v>
      </c>
      <c r="D15" s="36"/>
      <c r="E15" s="36"/>
      <c r="F15" s="37"/>
      <c r="G15" s="13"/>
      <c r="H15" s="38"/>
      <c r="I15" s="2"/>
      <c r="J15" s="38"/>
      <c r="K15" s="38"/>
      <c r="L15" s="38"/>
      <c r="M15" s="38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ht="15.75" customHeight="1">
      <c r="A16" s="1"/>
      <c r="B16" s="2"/>
      <c r="C16" s="39"/>
      <c r="D16" s="39"/>
      <c r="E16" s="39"/>
      <c r="F16" s="39"/>
      <c r="G16" s="40"/>
      <c r="H16" s="40"/>
      <c r="I16" s="7"/>
      <c r="J16" s="41"/>
      <c r="K16" s="3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ht="15.75" customHeight="1">
      <c r="A17" s="1"/>
      <c r="B17" s="4"/>
      <c r="C17" s="42" t="s">
        <v>18</v>
      </c>
      <c r="D17" s="43"/>
      <c r="E17" s="43"/>
      <c r="F17" s="43"/>
      <c r="G17" s="43"/>
      <c r="H17" s="43"/>
      <c r="I17" s="43"/>
      <c r="J17" s="44"/>
      <c r="K17" s="13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ht="15.75" customHeight="1">
      <c r="A18" s="1"/>
      <c r="B18" s="4"/>
      <c r="C18" s="45" t="s">
        <v>19</v>
      </c>
      <c r="D18" s="46"/>
      <c r="E18" s="47"/>
      <c r="F18" s="48">
        <f>F6*for_GBPUSD</f>
        <v>0</v>
      </c>
      <c r="G18" s="49" t="s">
        <v>20</v>
      </c>
      <c r="H18" s="46"/>
      <c r="I18" s="46"/>
      <c r="J18" s="50"/>
      <c r="K18" s="13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ht="15.75" customHeight="1">
      <c r="A19" s="1"/>
      <c r="B19" s="2"/>
      <c r="C19" s="39"/>
      <c r="D19" s="39"/>
      <c r="E19" s="39"/>
      <c r="F19" s="39"/>
      <c r="G19" s="51"/>
      <c r="H19" s="39"/>
      <c r="I19" s="39"/>
      <c r="J19" s="39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ht="15.75" customHeight="1">
      <c r="A20" s="1"/>
      <c r="B20" s="4"/>
      <c r="C20" s="52" t="s">
        <v>21</v>
      </c>
      <c r="D20" s="43"/>
      <c r="E20" s="43"/>
      <c r="F20" s="43"/>
      <c r="G20" s="43"/>
      <c r="H20" s="43"/>
      <c r="I20" s="43"/>
      <c r="J20" s="44"/>
      <c r="K20" s="13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ht="15.75" customHeight="1">
      <c r="A21" s="1"/>
      <c r="B21" s="4"/>
      <c r="C21" s="53" t="s">
        <v>22</v>
      </c>
      <c r="D21" s="5"/>
      <c r="E21" s="6"/>
      <c r="F21" s="54">
        <f>F6/(1+F10)</f>
        <v>0</v>
      </c>
      <c r="G21" s="4"/>
      <c r="H21" s="5"/>
      <c r="I21" s="5"/>
      <c r="J21" s="55"/>
      <c r="K21" s="13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ht="15.75" customHeight="1">
      <c r="A22" s="1"/>
      <c r="B22" s="4"/>
      <c r="C22" s="53" t="s">
        <v>23</v>
      </c>
      <c r="D22" s="5"/>
      <c r="E22" s="6"/>
      <c r="F22" s="56">
        <f>F21*F7</f>
        <v>0</v>
      </c>
      <c r="G22" s="4"/>
      <c r="H22" s="5"/>
      <c r="I22" s="5"/>
      <c r="J22" s="55"/>
      <c r="K22" s="1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ht="15.75" customHeight="1">
      <c r="A23" s="1"/>
      <c r="B23" s="4"/>
      <c r="C23" s="53" t="s">
        <v>24</v>
      </c>
      <c r="D23" s="5"/>
      <c r="E23" s="6"/>
      <c r="F23" s="56">
        <f>F22*(1+F9)</f>
        <v>0</v>
      </c>
      <c r="G23" s="4"/>
      <c r="H23" s="5"/>
      <c r="I23" s="5"/>
      <c r="J23" s="55"/>
      <c r="K23" s="1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ht="15.75" customHeight="1">
      <c r="A24" s="1"/>
      <c r="B24" s="4"/>
      <c r="C24" s="57"/>
      <c r="D24" s="58"/>
      <c r="E24" s="58"/>
      <c r="F24" s="48">
        <f>F23</f>
        <v>0</v>
      </c>
      <c r="G24" s="49" t="s">
        <v>20</v>
      </c>
      <c r="H24" s="46"/>
      <c r="I24" s="46"/>
      <c r="J24" s="50"/>
      <c r="K24" s="1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ht="15.75" customHeight="1">
      <c r="A25" s="1"/>
      <c r="B25" s="2"/>
      <c r="C25" s="39"/>
      <c r="D25" s="39"/>
      <c r="E25" s="39"/>
      <c r="F25" s="39"/>
      <c r="G25" s="51"/>
      <c r="H25" s="39"/>
      <c r="I25" s="39"/>
      <c r="J25" s="39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ht="15.75" customHeight="1">
      <c r="A26" s="1"/>
      <c r="B26" s="4"/>
      <c r="C26" s="52" t="s">
        <v>25</v>
      </c>
      <c r="D26" s="43"/>
      <c r="E26" s="43"/>
      <c r="F26" s="43"/>
      <c r="G26" s="43"/>
      <c r="H26" s="43"/>
      <c r="I26" s="43"/>
      <c r="J26" s="44"/>
      <c r="K26" s="1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ht="15.75" customHeight="1">
      <c r="A27" s="1"/>
      <c r="B27" s="4"/>
      <c r="C27" s="53" t="s">
        <v>26</v>
      </c>
      <c r="D27" s="5"/>
      <c r="E27" s="6"/>
      <c r="F27" s="56">
        <f>-put_price*recievable</f>
        <v>0</v>
      </c>
      <c r="G27" s="38" t="str">
        <f>FORMULATEXT(F27)</f>
        <v>=-put_price*recievable</v>
      </c>
      <c r="H27" s="2"/>
      <c r="I27" s="2"/>
      <c r="J27" s="59"/>
      <c r="K27" s="1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ht="15.75" customHeight="1">
      <c r="A28" s="1"/>
      <c r="B28" s="4"/>
      <c r="C28" s="53" t="s">
        <v>27</v>
      </c>
      <c r="D28" s="5"/>
      <c r="E28" s="6"/>
      <c r="F28" s="56">
        <f>F27*(1+F9)</f>
        <v>0</v>
      </c>
      <c r="G28" s="38"/>
      <c r="H28" s="2"/>
      <c r="I28" s="2"/>
      <c r="J28" s="59"/>
      <c r="K28" s="13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ht="15.75" customHeight="1">
      <c r="A29" s="1"/>
      <c r="B29" s="4"/>
      <c r="C29" s="57"/>
      <c r="D29" s="60"/>
      <c r="E29" s="60"/>
      <c r="F29" s="61">
        <f>MIN(G33:G45)</f>
        <v>0</v>
      </c>
      <c r="G29" s="49" t="s">
        <v>28</v>
      </c>
      <c r="H29" s="46"/>
      <c r="I29" s="46"/>
      <c r="J29" s="50"/>
      <c r="K29" s="1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ht="15.75" customHeight="1">
      <c r="A30" s="1"/>
      <c r="B30" s="2"/>
      <c r="C30" s="62"/>
      <c r="D30" s="39"/>
      <c r="E30" s="39"/>
      <c r="F30" s="39"/>
      <c r="G30" s="51"/>
      <c r="H30" s="62"/>
      <c r="I30" s="62"/>
      <c r="J30" s="6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ht="15.75" customHeight="1">
      <c r="A31" s="1"/>
      <c r="B31" s="4"/>
      <c r="C31" s="63" t="s">
        <v>29</v>
      </c>
      <c r="D31" s="64" t="s">
        <v>30</v>
      </c>
      <c r="E31" s="65"/>
      <c r="F31" s="65"/>
      <c r="G31" s="66"/>
      <c r="H31" s="67" t="s">
        <v>31</v>
      </c>
      <c r="I31" s="65"/>
      <c r="J31" s="66"/>
      <c r="K31" s="64" t="s">
        <v>32</v>
      </c>
      <c r="L31" s="66"/>
      <c r="M31" s="13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ht="15.75" customHeight="1">
      <c r="A32" s="1"/>
      <c r="B32" s="4"/>
      <c r="C32" s="68"/>
      <c r="D32" s="69" t="s">
        <v>33</v>
      </c>
      <c r="E32" s="70" t="s">
        <v>18</v>
      </c>
      <c r="F32" s="71" t="s">
        <v>21</v>
      </c>
      <c r="G32" s="72" t="s">
        <v>25</v>
      </c>
      <c r="H32" s="73" t="s">
        <v>34</v>
      </c>
      <c r="I32" s="74" t="s">
        <v>21</v>
      </c>
      <c r="J32" s="75" t="s">
        <v>25</v>
      </c>
      <c r="K32" s="69" t="s">
        <v>35</v>
      </c>
      <c r="L32" s="76" t="s">
        <v>36</v>
      </c>
      <c r="M32" s="13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ht="15.75" customHeight="1">
      <c r="A33" s="77"/>
      <c r="B33" s="78" t="s">
        <v>37</v>
      </c>
      <c r="C33" s="79">
        <f t="shared" ref="C33:C38" si="1">C34-0.01</f>
        <v>1.4</v>
      </c>
      <c r="D33" s="80">
        <f t="shared" ref="D33:D45" si="2">C33*$F$6</f>
        <v>0</v>
      </c>
      <c r="E33" s="81">
        <f t="shared" ref="E33:E45" si="3">$D33+($F$12-C33)*$F$6</f>
        <v>0</v>
      </c>
      <c r="F33" s="82">
        <f t="shared" ref="F33:F45" si="4">$F$24</f>
        <v>0</v>
      </c>
      <c r="G33" s="83">
        <f>hedge_no+J33</f>
        <v>0</v>
      </c>
      <c r="H33" s="84">
        <f t="shared" ref="H33:H45" si="5">($F$12-C33)*$F$6</f>
        <v>0</v>
      </c>
      <c r="I33" s="85">
        <f t="shared" ref="I33:I45" si="6">$F$24-D33</f>
        <v>0</v>
      </c>
      <c r="J33" s="86">
        <f>fv_put_outlay+max(0,(x_put-gbpusd_1y_scenario)*recievable)</f>
        <v>0</v>
      </c>
      <c r="K33" s="87" t="str">
        <f t="shared" ref="K33:K45" si="7">if(E33= max(D33,E33,F33,G33),$E$32,if(F33= max(D33,E33,F33,G33),$F$32,if(G33= max(D33,E33,F33,G33),$G$32,$D$32)))</f>
        <v>1. Forward Hedge</v>
      </c>
      <c r="L33" s="88" t="str">
        <f t="shared" ref="L33:L45" si="8">if(E33= max(E33,F33,G33),$E$32,if(F33= max(E33,F33,G33),$F$32,$G$32))</f>
        <v>1. Forward Hedge</v>
      </c>
      <c r="M33" s="13" t="s">
        <v>38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ht="15.75" customHeight="1">
      <c r="A34" s="77"/>
      <c r="B34" s="89"/>
      <c r="C34" s="90">
        <f t="shared" si="1"/>
        <v>1.41</v>
      </c>
      <c r="D34" s="91">
        <f t="shared" si="2"/>
        <v>0</v>
      </c>
      <c r="E34" s="92">
        <f t="shared" si="3"/>
        <v>0</v>
      </c>
      <c r="F34" s="93">
        <f t="shared" si="4"/>
        <v>0</v>
      </c>
      <c r="G34" s="94">
        <f t="shared" ref="G34:G45" si="9">$D34+J34</f>
        <v>0</v>
      </c>
      <c r="H34" s="95">
        <f t="shared" si="5"/>
        <v>0</v>
      </c>
      <c r="I34" s="96">
        <f t="shared" si="6"/>
        <v>0</v>
      </c>
      <c r="J34" s="86">
        <f>fv_put_outlay+max(0,(x_put-gbpusd_1y_scenario)*recievable)</f>
        <v>0</v>
      </c>
      <c r="K34" s="97" t="str">
        <f t="shared" si="7"/>
        <v>1. Forward Hedge</v>
      </c>
      <c r="L34" s="98" t="str">
        <f t="shared" si="8"/>
        <v>1. Forward Hedge</v>
      </c>
      <c r="M34" s="99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ht="15.75" customHeight="1">
      <c r="A35" s="77"/>
      <c r="B35" s="89"/>
      <c r="C35" s="90">
        <f t="shared" si="1"/>
        <v>1.42</v>
      </c>
      <c r="D35" s="91">
        <f t="shared" si="2"/>
        <v>0</v>
      </c>
      <c r="E35" s="92">
        <f t="shared" si="3"/>
        <v>0</v>
      </c>
      <c r="F35" s="93">
        <f t="shared" si="4"/>
        <v>0</v>
      </c>
      <c r="G35" s="94">
        <f t="shared" si="9"/>
        <v>0</v>
      </c>
      <c r="H35" s="95">
        <f t="shared" si="5"/>
        <v>0</v>
      </c>
      <c r="I35" s="96">
        <f t="shared" si="6"/>
        <v>0</v>
      </c>
      <c r="J35" s="86">
        <f>fv_put_outlay+max(0,(x_put-gbpusd_1y_scenario)*recievable)</f>
        <v>0</v>
      </c>
      <c r="K35" s="97" t="str">
        <f t="shared" si="7"/>
        <v>1. Forward Hedge</v>
      </c>
      <c r="L35" s="98" t="str">
        <f t="shared" si="8"/>
        <v>1. Forward Hedge</v>
      </c>
      <c r="M35" s="13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ht="15.75" customHeight="1">
      <c r="A36" s="77"/>
      <c r="B36" s="89"/>
      <c r="C36" s="90">
        <f t="shared" si="1"/>
        <v>1.43</v>
      </c>
      <c r="D36" s="91">
        <f t="shared" si="2"/>
        <v>0</v>
      </c>
      <c r="E36" s="92">
        <f t="shared" si="3"/>
        <v>0</v>
      </c>
      <c r="F36" s="93">
        <f t="shared" si="4"/>
        <v>0</v>
      </c>
      <c r="G36" s="94">
        <f t="shared" si="9"/>
        <v>0</v>
      </c>
      <c r="H36" s="95">
        <f t="shared" si="5"/>
        <v>0</v>
      </c>
      <c r="I36" s="96">
        <f t="shared" si="6"/>
        <v>0</v>
      </c>
      <c r="J36" s="86">
        <f>fv_put_outlay+max(0,(x_put-gbpusd_1y_scenario)*recievable)</f>
        <v>0</v>
      </c>
      <c r="K36" s="97" t="str">
        <f t="shared" si="7"/>
        <v>1. Forward Hedge</v>
      </c>
      <c r="L36" s="98" t="str">
        <f t="shared" si="8"/>
        <v>1. Forward Hedge</v>
      </c>
      <c r="M36" s="13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ht="15.75" customHeight="1">
      <c r="A37" s="77"/>
      <c r="B37" s="89"/>
      <c r="C37" s="90">
        <f t="shared" si="1"/>
        <v>1.44</v>
      </c>
      <c r="D37" s="91">
        <f t="shared" si="2"/>
        <v>0</v>
      </c>
      <c r="E37" s="92">
        <f t="shared" si="3"/>
        <v>0</v>
      </c>
      <c r="F37" s="93">
        <f t="shared" si="4"/>
        <v>0</v>
      </c>
      <c r="G37" s="94">
        <f t="shared" si="9"/>
        <v>0</v>
      </c>
      <c r="H37" s="95">
        <f t="shared" si="5"/>
        <v>0</v>
      </c>
      <c r="I37" s="96">
        <f t="shared" si="6"/>
        <v>0</v>
      </c>
      <c r="J37" s="86">
        <f>fv_put_outlay+max(0,(x_put-gbpusd_1y_scenario)*recievable)</f>
        <v>0</v>
      </c>
      <c r="K37" s="97" t="str">
        <f t="shared" si="7"/>
        <v>1. Forward Hedge</v>
      </c>
      <c r="L37" s="98" t="str">
        <f t="shared" si="8"/>
        <v>1. Forward Hedge</v>
      </c>
      <c r="M37" s="1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ht="15.75" customHeight="1">
      <c r="A38" s="77"/>
      <c r="B38" s="89"/>
      <c r="C38" s="90">
        <f t="shared" si="1"/>
        <v>1.45</v>
      </c>
      <c r="D38" s="91">
        <f t="shared" si="2"/>
        <v>0</v>
      </c>
      <c r="E38" s="92">
        <f t="shared" si="3"/>
        <v>0</v>
      </c>
      <c r="F38" s="93">
        <f t="shared" si="4"/>
        <v>0</v>
      </c>
      <c r="G38" s="94">
        <f t="shared" si="9"/>
        <v>0</v>
      </c>
      <c r="H38" s="95">
        <f t="shared" si="5"/>
        <v>0</v>
      </c>
      <c r="I38" s="96">
        <f t="shared" si="6"/>
        <v>0</v>
      </c>
      <c r="J38" s="86">
        <f>fv_put_outlay+max(0,(x_put-gbpusd_1y_scenario)*recievable)</f>
        <v>0</v>
      </c>
      <c r="K38" s="97" t="str">
        <f t="shared" si="7"/>
        <v>1. Forward Hedge</v>
      </c>
      <c r="L38" s="98" t="str">
        <f t="shared" si="8"/>
        <v>1. Forward Hedge</v>
      </c>
      <c r="M38" s="1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ht="15.75" customHeight="1">
      <c r="A39" s="77"/>
      <c r="B39" s="89"/>
      <c r="C39" s="90">
        <v>1.46</v>
      </c>
      <c r="D39" s="91">
        <f t="shared" si="2"/>
        <v>0</v>
      </c>
      <c r="E39" s="92">
        <f t="shared" si="3"/>
        <v>0</v>
      </c>
      <c r="F39" s="93">
        <f t="shared" si="4"/>
        <v>0</v>
      </c>
      <c r="G39" s="94">
        <f t="shared" si="9"/>
        <v>0</v>
      </c>
      <c r="H39" s="95">
        <f t="shared" si="5"/>
        <v>0</v>
      </c>
      <c r="I39" s="96">
        <f t="shared" si="6"/>
        <v>0</v>
      </c>
      <c r="J39" s="86">
        <f>fv_put_outlay+max(0,(x_put-gbpusd_1y_scenario)*recievable)</f>
        <v>0</v>
      </c>
      <c r="K39" s="97" t="str">
        <f t="shared" si="7"/>
        <v>1. Forward Hedge</v>
      </c>
      <c r="L39" s="98" t="str">
        <f t="shared" si="8"/>
        <v>1. Forward Hedge</v>
      </c>
      <c r="M39" s="13" t="s">
        <v>39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ht="15.75" customHeight="1">
      <c r="A40" s="77"/>
      <c r="B40" s="89"/>
      <c r="C40" s="90">
        <f t="shared" ref="C40:C45" si="10">C39+0.01</f>
        <v>1.47</v>
      </c>
      <c r="D40" s="91">
        <f t="shared" si="2"/>
        <v>0</v>
      </c>
      <c r="E40" s="92">
        <f t="shared" si="3"/>
        <v>0</v>
      </c>
      <c r="F40" s="93">
        <f t="shared" si="4"/>
        <v>0</v>
      </c>
      <c r="G40" s="94">
        <f t="shared" si="9"/>
        <v>0</v>
      </c>
      <c r="H40" s="95">
        <f t="shared" si="5"/>
        <v>0</v>
      </c>
      <c r="I40" s="96">
        <f t="shared" si="6"/>
        <v>0</v>
      </c>
      <c r="J40" s="86">
        <f>fv_put_outlay+max(0,(x_put-gbpusd_1y_scenario)*recievable)</f>
        <v>0</v>
      </c>
      <c r="K40" s="97" t="str">
        <f t="shared" si="7"/>
        <v>1. Forward Hedge</v>
      </c>
      <c r="L40" s="98" t="str">
        <f t="shared" si="8"/>
        <v>1. Forward Hedge</v>
      </c>
      <c r="M40" s="1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ht="15.75" customHeight="1">
      <c r="A41" s="77"/>
      <c r="B41" s="89"/>
      <c r="C41" s="90">
        <f t="shared" si="10"/>
        <v>1.48</v>
      </c>
      <c r="D41" s="91">
        <f t="shared" si="2"/>
        <v>0</v>
      </c>
      <c r="E41" s="92">
        <f t="shared" si="3"/>
        <v>0</v>
      </c>
      <c r="F41" s="93">
        <f t="shared" si="4"/>
        <v>0</v>
      </c>
      <c r="G41" s="94">
        <f t="shared" si="9"/>
        <v>0</v>
      </c>
      <c r="H41" s="95">
        <f t="shared" si="5"/>
        <v>0</v>
      </c>
      <c r="I41" s="96">
        <f t="shared" si="6"/>
        <v>0</v>
      </c>
      <c r="J41" s="86">
        <f>fv_put_outlay+max(0,(x_put-gbpusd_1y_scenario)*recievable)</f>
        <v>0</v>
      </c>
      <c r="K41" s="97" t="str">
        <f t="shared" si="7"/>
        <v>1. Forward Hedge</v>
      </c>
      <c r="L41" s="98" t="str">
        <f t="shared" si="8"/>
        <v>1. Forward Hedge</v>
      </c>
      <c r="M41" s="13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ht="15.75" customHeight="1">
      <c r="A42" s="77"/>
      <c r="B42" s="89"/>
      <c r="C42" s="90">
        <f t="shared" si="10"/>
        <v>1.49</v>
      </c>
      <c r="D42" s="91">
        <f t="shared" si="2"/>
        <v>0</v>
      </c>
      <c r="E42" s="92">
        <f t="shared" si="3"/>
        <v>0</v>
      </c>
      <c r="F42" s="93">
        <f t="shared" si="4"/>
        <v>0</v>
      </c>
      <c r="G42" s="94">
        <f t="shared" si="9"/>
        <v>0</v>
      </c>
      <c r="H42" s="95">
        <f t="shared" si="5"/>
        <v>0</v>
      </c>
      <c r="I42" s="96">
        <f t="shared" si="6"/>
        <v>0</v>
      </c>
      <c r="J42" s="86">
        <f>fv_put_outlay+max(0,(x_put-gbpusd_1y_scenario)*recievable)</f>
        <v>0</v>
      </c>
      <c r="K42" s="97" t="str">
        <f t="shared" si="7"/>
        <v>1. Forward Hedge</v>
      </c>
      <c r="L42" s="100" t="str">
        <f t="shared" si="8"/>
        <v>1. Forward Hedge</v>
      </c>
      <c r="M42" s="13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ht="15.75" customHeight="1">
      <c r="A43" s="77"/>
      <c r="B43" s="89"/>
      <c r="C43" s="90">
        <f t="shared" si="10"/>
        <v>1.5</v>
      </c>
      <c r="D43" s="91">
        <f t="shared" si="2"/>
        <v>0</v>
      </c>
      <c r="E43" s="92">
        <f t="shared" si="3"/>
        <v>0</v>
      </c>
      <c r="F43" s="93">
        <f t="shared" si="4"/>
        <v>0</v>
      </c>
      <c r="G43" s="94">
        <f t="shared" si="9"/>
        <v>0</v>
      </c>
      <c r="H43" s="95">
        <f t="shared" si="5"/>
        <v>0</v>
      </c>
      <c r="I43" s="96">
        <f t="shared" si="6"/>
        <v>0</v>
      </c>
      <c r="J43" s="86">
        <f>fv_put_outlay+max(0,(x_put-gbpusd_1y_scenario)*recievable)</f>
        <v>0</v>
      </c>
      <c r="K43" s="97" t="str">
        <f t="shared" si="7"/>
        <v>1. Forward Hedge</v>
      </c>
      <c r="L43" s="100" t="str">
        <f t="shared" si="8"/>
        <v>1. Forward Hedge</v>
      </c>
      <c r="M43" s="13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ht="15.75" customHeight="1">
      <c r="A44" s="77"/>
      <c r="B44" s="89"/>
      <c r="C44" s="90">
        <f t="shared" si="10"/>
        <v>1.51</v>
      </c>
      <c r="D44" s="91">
        <f t="shared" si="2"/>
        <v>0</v>
      </c>
      <c r="E44" s="92">
        <f t="shared" si="3"/>
        <v>0</v>
      </c>
      <c r="F44" s="93">
        <f t="shared" si="4"/>
        <v>0</v>
      </c>
      <c r="G44" s="94">
        <f t="shared" si="9"/>
        <v>0</v>
      </c>
      <c r="H44" s="95">
        <f t="shared" si="5"/>
        <v>0</v>
      </c>
      <c r="I44" s="96">
        <f t="shared" si="6"/>
        <v>0</v>
      </c>
      <c r="J44" s="86">
        <f>fv_put_outlay+max(0,(x_put-gbpusd_1y_scenario)*recievable)</f>
        <v>0</v>
      </c>
      <c r="K44" s="97" t="str">
        <f t="shared" si="7"/>
        <v>1. Forward Hedge</v>
      </c>
      <c r="L44" s="100" t="str">
        <f t="shared" si="8"/>
        <v>1. Forward Hedge</v>
      </c>
      <c r="M44" s="13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ht="15.75" customHeight="1">
      <c r="A45" s="77"/>
      <c r="B45" s="101"/>
      <c r="C45" s="102">
        <f t="shared" si="10"/>
        <v>1.52</v>
      </c>
      <c r="D45" s="103">
        <f t="shared" si="2"/>
        <v>0</v>
      </c>
      <c r="E45" s="104">
        <f t="shared" si="3"/>
        <v>0</v>
      </c>
      <c r="F45" s="105">
        <f t="shared" si="4"/>
        <v>0</v>
      </c>
      <c r="G45" s="106">
        <f t="shared" si="9"/>
        <v>0</v>
      </c>
      <c r="H45" s="107">
        <f t="shared" si="5"/>
        <v>0</v>
      </c>
      <c r="I45" s="108">
        <f t="shared" si="6"/>
        <v>0</v>
      </c>
      <c r="J45" s="86">
        <f>fv_put_outlay+max(0,(x_put-gbpusd_1y_scenario)*recievable)</f>
        <v>0</v>
      </c>
      <c r="K45" s="109" t="str">
        <f t="shared" si="7"/>
        <v>1. Forward Hedge</v>
      </c>
      <c r="L45" s="110" t="str">
        <f t="shared" si="8"/>
        <v>1. Forward Hedge</v>
      </c>
      <c r="M45" s="13" t="s">
        <v>40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ht="15.75" customHeight="1">
      <c r="A46" s="1"/>
      <c r="B46" s="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ht="15.75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ht="15.7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ht="15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ht="15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ht="15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ht="15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ht="15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ht="15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ht="15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ht="15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ht="15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ht="15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ht="15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ht="15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ht="15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ht="15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ht="15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ht="15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ht="15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ht="15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ht="15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ht="15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ht="15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ht="15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ht="15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ht="15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ht="15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ht="15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ht="15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ht="15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ht="15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ht="15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ht="15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ht="15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ht="15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ht="15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ht="15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ht="15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ht="15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ht="15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ht="15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ht="15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ht="15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ht="15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ht="15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ht="15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ht="15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ht="15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ht="15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ht="15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ht="15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ht="15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ht="15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ht="15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ht="15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ht="15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ht="15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ht="15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ht="15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ht="15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ht="15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ht="15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ht="15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ht="15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ht="15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ht="15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ht="15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ht="15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ht="15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ht="15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ht="15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ht="15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ht="15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ht="15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ht="15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ht="15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ht="15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ht="15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ht="15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ht="15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ht="15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ht="15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ht="15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ht="15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ht="15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ht="15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ht="15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ht="15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ht="15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ht="15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ht="15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ht="15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ht="15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ht="15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ht="15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ht="15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ht="15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ht="15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ht="15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ht="15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ht="15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ht="15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ht="15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ht="15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ht="15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ht="15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ht="15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ht="15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ht="15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ht="15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ht="15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ht="15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ht="15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ht="15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ht="15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ht="15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ht="15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ht="15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ht="15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ht="15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ht="15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ht="15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ht="15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ht="15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ht="15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ht="15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ht="15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ht="15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ht="15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ht="15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ht="15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ht="15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ht="15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ht="15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ht="15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ht="15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ht="15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ht="15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ht="15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ht="15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ht="15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ht="15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ht="15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ht="15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ht="15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ht="15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ht="15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ht="15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ht="15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ht="15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ht="15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ht="15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C21:E21"/>
    <mergeCell ref="C22:E22"/>
    <mergeCell ref="C23:E23"/>
    <mergeCell ref="B33:B45"/>
    <mergeCell ref="C3:J3"/>
    <mergeCell ref="C5:E5"/>
    <mergeCell ref="C17:J17"/>
    <mergeCell ref="C18:E18"/>
    <mergeCell ref="G18:J18"/>
    <mergeCell ref="C20:J20"/>
    <mergeCell ref="G21:J21"/>
    <mergeCell ref="C31:C32"/>
    <mergeCell ref="D31:G31"/>
    <mergeCell ref="H31:J31"/>
    <mergeCell ref="K31:L31"/>
    <mergeCell ref="G22:J22"/>
    <mergeCell ref="G23:J23"/>
    <mergeCell ref="G24:J24"/>
    <mergeCell ref="C26:J26"/>
    <mergeCell ref="C27:E27"/>
    <mergeCell ref="C28:E28"/>
    <mergeCell ref="G29:J29"/>
  </mergeCells>
  <conditionalFormatting sqref="D33:G45">
    <cfRule type="colorScale" priority="1">
      <colorScale>
        <cfvo type="min"/>
        <cfvo type="max"/>
        <color rgb="FFF4CCCC"/>
        <color rgb="FFD9EAD3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3.0"/>
    <col customWidth="1" min="3" max="12" width="24.75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75" customHeight="1">
      <c r="A2" s="1"/>
      <c r="B2" s="2"/>
      <c r="C2" s="3" t="s">
        <v>41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ht="20.25" customHeight="1">
      <c r="A3" s="1"/>
      <c r="B3" s="2"/>
      <c r="C3" s="4" t="s">
        <v>42</v>
      </c>
      <c r="D3" s="5"/>
      <c r="E3" s="5"/>
      <c r="F3" s="5"/>
      <c r="G3" s="5"/>
      <c r="H3" s="5"/>
      <c r="I3" s="5"/>
      <c r="J3" s="6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ht="15.75" customHeight="1">
      <c r="A4" s="1"/>
      <c r="B4" s="2"/>
      <c r="C4" s="7"/>
      <c r="D4" s="7"/>
      <c r="E4" s="7"/>
      <c r="F4" s="7"/>
      <c r="G4" s="2"/>
      <c r="H4" s="7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ht="15.75" customHeight="1">
      <c r="A5" s="1"/>
      <c r="B5" s="4"/>
      <c r="C5" s="8" t="s">
        <v>2</v>
      </c>
      <c r="D5" s="9"/>
      <c r="E5" s="9"/>
      <c r="F5" s="10" t="s">
        <v>3</v>
      </c>
      <c r="G5" s="11"/>
      <c r="H5" s="12" t="s">
        <v>4</v>
      </c>
      <c r="I5" s="1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ht="15.75" customHeight="1">
      <c r="A6" s="1"/>
      <c r="B6" s="4"/>
      <c r="C6" s="14" t="s">
        <v>5</v>
      </c>
      <c r="D6" s="15"/>
      <c r="E6" s="15"/>
      <c r="F6" s="111"/>
      <c r="G6" s="17"/>
      <c r="H6" s="18" t="s">
        <v>6</v>
      </c>
      <c r="I6" s="19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ht="15.75" customHeight="1">
      <c r="A7" s="1"/>
      <c r="B7" s="4"/>
      <c r="C7" s="14" t="s">
        <v>7</v>
      </c>
      <c r="D7" s="20"/>
      <c r="E7" s="20"/>
      <c r="F7" s="21"/>
      <c r="G7" s="22"/>
      <c r="H7" s="23" t="s">
        <v>8</v>
      </c>
      <c r="I7" s="1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ht="15.75" customHeight="1">
      <c r="A8" s="1"/>
      <c r="B8" s="4"/>
      <c r="C8" s="24" t="s">
        <v>9</v>
      </c>
      <c r="D8" s="25"/>
      <c r="E8" s="25"/>
      <c r="F8" s="26"/>
      <c r="G8" s="13"/>
      <c r="H8" s="27" t="s">
        <v>10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ht="15.75" customHeight="1">
      <c r="A9" s="1"/>
      <c r="B9" s="4"/>
      <c r="C9" s="14" t="s">
        <v>11</v>
      </c>
      <c r="D9" s="25"/>
      <c r="E9" s="25"/>
      <c r="F9" s="28"/>
      <c r="G9" s="1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ht="15.75" customHeight="1">
      <c r="A10" s="1"/>
      <c r="B10" s="4"/>
      <c r="C10" s="14" t="s">
        <v>12</v>
      </c>
      <c r="D10" s="25"/>
      <c r="E10" s="25"/>
      <c r="F10" s="28"/>
      <c r="G10" s="1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ht="15.75" customHeight="1">
      <c r="A11" s="1"/>
      <c r="B11" s="4"/>
      <c r="C11" s="24" t="s">
        <v>13</v>
      </c>
      <c r="D11" s="20"/>
      <c r="E11" s="20"/>
      <c r="F11" s="30"/>
      <c r="G11" s="1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ht="15.75" customHeight="1">
      <c r="A12" s="1"/>
      <c r="B12" s="4"/>
      <c r="C12" s="14" t="s">
        <v>14</v>
      </c>
      <c r="D12" s="20"/>
      <c r="E12" s="20"/>
      <c r="F12" s="21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ht="15.75" customHeight="1">
      <c r="A13" s="1"/>
      <c r="B13" s="4"/>
      <c r="C13" s="24" t="s">
        <v>15</v>
      </c>
      <c r="D13" s="2"/>
      <c r="E13" s="2"/>
      <c r="F13" s="31"/>
      <c r="G13" s="1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ht="15.75" customHeight="1">
      <c r="A14" s="1"/>
      <c r="B14" s="4"/>
      <c r="C14" s="32" t="s">
        <v>43</v>
      </c>
      <c r="D14" s="33"/>
      <c r="E14" s="33"/>
      <c r="F14" s="34"/>
      <c r="G14" s="1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ht="15.75" customHeight="1">
      <c r="A15" s="1"/>
      <c r="B15" s="4"/>
      <c r="C15" s="35" t="s">
        <v>44</v>
      </c>
      <c r="D15" s="36"/>
      <c r="E15" s="36"/>
      <c r="F15" s="37"/>
      <c r="G15" s="13"/>
      <c r="H15" s="38"/>
      <c r="I15" s="2"/>
      <c r="J15" s="38"/>
      <c r="K15" s="38"/>
      <c r="L15" s="38"/>
      <c r="M15" s="38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ht="15.75" customHeight="1">
      <c r="A16" s="1"/>
      <c r="B16" s="2"/>
      <c r="C16" s="39"/>
      <c r="D16" s="39"/>
      <c r="E16" s="39"/>
      <c r="F16" s="39"/>
      <c r="G16" s="40"/>
      <c r="H16" s="40"/>
      <c r="I16" s="7"/>
      <c r="J16" s="41"/>
      <c r="K16" s="3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ht="15.75" customHeight="1">
      <c r="A17" s="1"/>
      <c r="B17" s="4"/>
      <c r="C17" s="42" t="s">
        <v>18</v>
      </c>
      <c r="D17" s="43"/>
      <c r="E17" s="43"/>
      <c r="F17" s="43"/>
      <c r="G17" s="43"/>
      <c r="H17" s="43"/>
      <c r="I17" s="43"/>
      <c r="J17" s="44"/>
      <c r="K17" s="13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ht="15.75" customHeight="1">
      <c r="A18" s="1"/>
      <c r="B18" s="4"/>
      <c r="C18" s="45" t="s">
        <v>45</v>
      </c>
      <c r="D18" s="46"/>
      <c r="E18" s="47"/>
      <c r="F18" s="48">
        <f>contract_notional_value_payable*forward_price_payable</f>
        <v>0</v>
      </c>
      <c r="G18" s="49" t="s">
        <v>20</v>
      </c>
      <c r="H18" s="46"/>
      <c r="I18" s="46"/>
      <c r="J18" s="50"/>
      <c r="K18" s="13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ht="15.75" customHeight="1">
      <c r="A19" s="1"/>
      <c r="B19" s="2"/>
      <c r="C19" s="39"/>
      <c r="D19" s="39"/>
      <c r="E19" s="39"/>
      <c r="F19" s="39"/>
      <c r="G19" s="51"/>
      <c r="H19" s="39"/>
      <c r="I19" s="39"/>
      <c r="J19" s="39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ht="15.75" customHeight="1">
      <c r="A20" s="1"/>
      <c r="B20" s="4"/>
      <c r="C20" s="52" t="s">
        <v>21</v>
      </c>
      <c r="D20" s="43"/>
      <c r="E20" s="43"/>
      <c r="F20" s="43"/>
      <c r="G20" s="43"/>
      <c r="H20" s="43"/>
      <c r="I20" s="43"/>
      <c r="J20" s="44"/>
      <c r="K20" s="13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ht="15.75" customHeight="1">
      <c r="A21" s="1"/>
      <c r="B21" s="4"/>
      <c r="C21" s="53" t="s">
        <v>46</v>
      </c>
      <c r="D21" s="5"/>
      <c r="E21" s="6"/>
      <c r="F21" s="54">
        <f>contract_notional_value_payable/(1+rate_uk_1y_payable)</f>
        <v>0</v>
      </c>
      <c r="G21" s="4"/>
      <c r="H21" s="5"/>
      <c r="I21" s="5"/>
      <c r="J21" s="55"/>
      <c r="K21" s="13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ht="15.75" customHeight="1">
      <c r="A22" s="1"/>
      <c r="B22" s="4"/>
      <c r="C22" s="53" t="s">
        <v>47</v>
      </c>
      <c r="D22" s="5"/>
      <c r="E22" s="6"/>
      <c r="F22" s="56">
        <f>F21*current_spot_price_payable</f>
        <v>0</v>
      </c>
      <c r="G22" s="4"/>
      <c r="H22" s="5"/>
      <c r="I22" s="5"/>
      <c r="J22" s="55"/>
      <c r="K22" s="1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ht="15.75" customHeight="1">
      <c r="A23" s="1"/>
      <c r="B23" s="4"/>
      <c r="C23" s="53" t="s">
        <v>48</v>
      </c>
      <c r="D23" s="5"/>
      <c r="E23" s="6"/>
      <c r="F23" s="54" t="str">
        <f>F22/current_spot_price_payable</f>
        <v>#DIV/0!</v>
      </c>
      <c r="G23" s="59"/>
      <c r="H23" s="59"/>
      <c r="I23" s="59"/>
      <c r="J23" s="59"/>
      <c r="K23" s="1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ht="15.75" customHeight="1">
      <c r="A24" s="1"/>
      <c r="B24" s="4"/>
      <c r="C24" s="53" t="s">
        <v>49</v>
      </c>
      <c r="D24" s="5"/>
      <c r="E24" s="6"/>
      <c r="F24" s="54" t="str">
        <f>F23*(1+rate_uk_1y_payable)</f>
        <v>#DIV/0!</v>
      </c>
      <c r="G24" s="59"/>
      <c r="H24" s="59"/>
      <c r="I24" s="59"/>
      <c r="J24" s="59"/>
      <c r="K24" s="1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ht="15.75" customHeight="1">
      <c r="A25" s="1"/>
      <c r="B25" s="4"/>
      <c r="C25" s="53" t="s">
        <v>50</v>
      </c>
      <c r="D25" s="5"/>
      <c r="E25" s="6"/>
      <c r="F25" s="56">
        <f>F22*(1+rate_us_1y_payable)</f>
        <v>0</v>
      </c>
      <c r="G25" s="4"/>
      <c r="H25" s="5"/>
      <c r="I25" s="5"/>
      <c r="J25" s="55"/>
      <c r="K25" s="1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ht="15.75" customHeight="1">
      <c r="A26" s="1"/>
      <c r="B26" s="4"/>
      <c r="C26" s="57"/>
      <c r="D26" s="58"/>
      <c r="E26" s="58"/>
      <c r="F26" s="48">
        <f>F25</f>
        <v>0</v>
      </c>
      <c r="G26" s="49" t="s">
        <v>20</v>
      </c>
      <c r="H26" s="46"/>
      <c r="I26" s="46"/>
      <c r="J26" s="50"/>
      <c r="K26" s="1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ht="15.75" customHeight="1">
      <c r="A27" s="1"/>
      <c r="B27" s="2"/>
      <c r="C27" s="39"/>
      <c r="D27" s="39"/>
      <c r="E27" s="39"/>
      <c r="F27" s="39"/>
      <c r="G27" s="51"/>
      <c r="H27" s="39"/>
      <c r="I27" s="39"/>
      <c r="J27" s="39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ht="15.75" customHeight="1">
      <c r="A28" s="1"/>
      <c r="B28" s="4"/>
      <c r="C28" s="52" t="s">
        <v>25</v>
      </c>
      <c r="D28" s="43"/>
      <c r="E28" s="43"/>
      <c r="F28" s="43"/>
      <c r="G28" s="43"/>
      <c r="H28" s="43"/>
      <c r="I28" s="43"/>
      <c r="J28" s="44"/>
      <c r="K28" s="13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ht="15.75" customHeight="1">
      <c r="A29" s="1"/>
      <c r="B29" s="4"/>
      <c r="C29" s="53" t="s">
        <v>51</v>
      </c>
      <c r="D29" s="5"/>
      <c r="E29" s="6"/>
      <c r="F29" s="56">
        <f>-call_price*contract_notional_value_payable</f>
        <v>0</v>
      </c>
      <c r="G29" s="38"/>
      <c r="H29" s="2"/>
      <c r="I29" s="2"/>
      <c r="J29" s="59"/>
      <c r="K29" s="1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ht="15.75" customHeight="1">
      <c r="A30" s="1"/>
      <c r="B30" s="4"/>
      <c r="C30" s="53" t="s">
        <v>27</v>
      </c>
      <c r="D30" s="5"/>
      <c r="E30" s="6"/>
      <c r="F30" s="56">
        <f>F29*(1+rate_us_1y_payable)</f>
        <v>0</v>
      </c>
      <c r="G30" s="38"/>
      <c r="H30" s="2"/>
      <c r="I30" s="2"/>
      <c r="J30" s="59"/>
      <c r="K30" s="1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ht="15.75" customHeight="1">
      <c r="A31" s="1"/>
      <c r="B31" s="4"/>
      <c r="C31" s="57"/>
      <c r="D31" s="60"/>
      <c r="E31" s="60"/>
      <c r="F31" s="61">
        <f>MAX(G35:G47)</f>
        <v>0</v>
      </c>
      <c r="G31" s="49" t="s">
        <v>52</v>
      </c>
      <c r="H31" s="46"/>
      <c r="I31" s="46"/>
      <c r="J31" s="50"/>
      <c r="K31" s="13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ht="15.75" customHeight="1">
      <c r="A32" s="1"/>
      <c r="B32" s="2"/>
      <c r="C32" s="62"/>
      <c r="D32" s="62"/>
      <c r="E32" s="62"/>
      <c r="F32" s="62"/>
      <c r="G32" s="112"/>
      <c r="H32" s="62"/>
      <c r="I32" s="62"/>
      <c r="J32" s="6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ht="15.75" customHeight="1">
      <c r="A33" s="1"/>
      <c r="B33" s="4"/>
      <c r="C33" s="63" t="s">
        <v>29</v>
      </c>
      <c r="D33" s="64" t="s">
        <v>53</v>
      </c>
      <c r="E33" s="65"/>
      <c r="F33" s="65"/>
      <c r="G33" s="66"/>
      <c r="H33" s="67" t="s">
        <v>31</v>
      </c>
      <c r="I33" s="65"/>
      <c r="J33" s="66"/>
      <c r="K33" s="64" t="s">
        <v>32</v>
      </c>
      <c r="L33" s="66"/>
      <c r="M33" s="13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ht="15.75" customHeight="1">
      <c r="A34" s="1"/>
      <c r="B34" s="4"/>
      <c r="C34" s="68"/>
      <c r="D34" s="69" t="s">
        <v>33</v>
      </c>
      <c r="E34" s="70" t="s">
        <v>18</v>
      </c>
      <c r="F34" s="71" t="s">
        <v>21</v>
      </c>
      <c r="G34" s="72" t="s">
        <v>25</v>
      </c>
      <c r="H34" s="73" t="s">
        <v>34</v>
      </c>
      <c r="I34" s="74" t="s">
        <v>21</v>
      </c>
      <c r="J34" s="75" t="s">
        <v>25</v>
      </c>
      <c r="K34" s="69" t="s">
        <v>35</v>
      </c>
      <c r="L34" s="76" t="s">
        <v>36</v>
      </c>
      <c r="M34" s="13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ht="15.75" customHeight="1">
      <c r="A35" s="77"/>
      <c r="B35" s="78" t="s">
        <v>37</v>
      </c>
      <c r="C35" s="79">
        <f t="shared" ref="C35:C40" si="1">C36-0.05</f>
        <v>-0.3</v>
      </c>
      <c r="D35" s="113">
        <f>future_spot_price_payable*contract_notional_value_payable</f>
        <v>0</v>
      </c>
      <c r="E35" s="114">
        <f>$D35+(forward_price_payable-future_spot_price_payable)*contract_notional_value_payable</f>
        <v>0</v>
      </c>
      <c r="F35" s="115">
        <f t="shared" ref="F35:F47" si="2">$F$26</f>
        <v>0</v>
      </c>
      <c r="G35" s="116">
        <f t="shared" ref="G35:G47" si="3">$D35-J35</f>
        <v>0</v>
      </c>
      <c r="H35" s="117">
        <f>(forward_price_payable-future_spot_price_payable)*contract_notional_value_payable</f>
        <v>0</v>
      </c>
      <c r="I35" s="118">
        <f t="shared" ref="I35:I47" si="4">$F$26-D35</f>
        <v>0</v>
      </c>
      <c r="J35" s="119">
        <f>F$30+max(0,(future_spot_price_payable-call_strike)*contract_notional_value_payable)</f>
        <v>0</v>
      </c>
      <c r="K35" s="120" t="str">
        <f>if(E35= min(D35,E35,F35,G35),$E$34,if(F35= min(D35,E35,F35,G35),$F$34,if(G35= MIN(D35,E35,F35,G35),$G$34,$D$34)))</f>
        <v>1. Forward Hedge</v>
      </c>
      <c r="L35" s="121" t="str">
        <f>if(E35= MIN(E35,F35,G35),$E$34,if(F35= min(E35,F35,G35),$F$34,$G$34))</f>
        <v>1. Forward Hedge</v>
      </c>
      <c r="M35" s="13" t="s">
        <v>54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ht="15.75" customHeight="1">
      <c r="A36" s="77"/>
      <c r="B36" s="89"/>
      <c r="C36" s="90">
        <f t="shared" si="1"/>
        <v>-0.25</v>
      </c>
      <c r="D36" s="122">
        <f>future_spot_price_payable*contract_notional_value_payable</f>
        <v>0</v>
      </c>
      <c r="E36" s="56">
        <f>$D36+(forward_price_payable-future_spot_price_payable)*contract_notional_value_payable</f>
        <v>0</v>
      </c>
      <c r="F36" s="123">
        <f t="shared" si="2"/>
        <v>0</v>
      </c>
      <c r="G36" s="124">
        <f t="shared" si="3"/>
        <v>0</v>
      </c>
      <c r="H36" s="125">
        <f>(forward_price_payable-future_spot_price_payable)*contract_notional_value_payable</f>
        <v>0</v>
      </c>
      <c r="I36" s="126">
        <f t="shared" si="4"/>
        <v>0</v>
      </c>
      <c r="J36" s="127">
        <f>F$30+max(0,(future_spot_price_payable-call_strike)*contract_notional_value_payable)</f>
        <v>0</v>
      </c>
      <c r="K36" s="128" t="str">
        <f t="shared" ref="K36:K47" si="5">if(E36= min(D36,E36,F36,G36),$E$34,if(F36= min(D36,E36,F36,G36),$F$34,if(G36= min(D36,E36,F36,G36),$G$34,$D$34)))</f>
        <v>1. Forward Hedge</v>
      </c>
      <c r="L36" s="100" t="str">
        <f t="shared" ref="L36:L47" si="6">if(E36= min(E36,F36,G36),$E$34,if(F36= min(E36,F36,G36),$F$34,$G$34))</f>
        <v>1. Forward Hedge</v>
      </c>
      <c r="M36" s="13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ht="15.75" customHeight="1">
      <c r="A37" s="77"/>
      <c r="B37" s="89"/>
      <c r="C37" s="90">
        <f t="shared" si="1"/>
        <v>-0.2</v>
      </c>
      <c r="D37" s="122">
        <f>future_spot_price_payable*contract_notional_value_payable</f>
        <v>0</v>
      </c>
      <c r="E37" s="56">
        <f>$D37+(forward_price_payable-future_spot_price_payable)*contract_notional_value_payable</f>
        <v>0</v>
      </c>
      <c r="F37" s="123">
        <f t="shared" si="2"/>
        <v>0</v>
      </c>
      <c r="G37" s="124">
        <f t="shared" si="3"/>
        <v>0</v>
      </c>
      <c r="H37" s="125">
        <f>(forward_price_payable-future_spot_price_payable)*contract_notional_value_payable</f>
        <v>0</v>
      </c>
      <c r="I37" s="126">
        <f t="shared" si="4"/>
        <v>0</v>
      </c>
      <c r="J37" s="127">
        <f>F$30+max(0,(future_spot_price_payable-call_strike)*contract_notional_value_payable)</f>
        <v>0</v>
      </c>
      <c r="K37" s="128" t="str">
        <f t="shared" si="5"/>
        <v>1. Forward Hedge</v>
      </c>
      <c r="L37" s="100" t="str">
        <f t="shared" si="6"/>
        <v>1. Forward Hedge</v>
      </c>
      <c r="M37" s="1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ht="15.75" customHeight="1">
      <c r="A38" s="77"/>
      <c r="B38" s="89"/>
      <c r="C38" s="90">
        <f t="shared" si="1"/>
        <v>-0.15</v>
      </c>
      <c r="D38" s="122">
        <f>future_spot_price_payable*contract_notional_value_payable</f>
        <v>0</v>
      </c>
      <c r="E38" s="56">
        <f>$D38+(forward_price_payable-future_spot_price_payable)*contract_notional_value_payable</f>
        <v>0</v>
      </c>
      <c r="F38" s="123">
        <f t="shared" si="2"/>
        <v>0</v>
      </c>
      <c r="G38" s="124">
        <f t="shared" si="3"/>
        <v>0</v>
      </c>
      <c r="H38" s="125">
        <f>(forward_price_payable-future_spot_price_payable)*contract_notional_value_payable</f>
        <v>0</v>
      </c>
      <c r="I38" s="126">
        <f t="shared" si="4"/>
        <v>0</v>
      </c>
      <c r="J38" s="127">
        <f>F$30+max(0,(future_spot_price_payable-call_strike)*contract_notional_value_payable)</f>
        <v>0</v>
      </c>
      <c r="K38" s="128" t="str">
        <f t="shared" si="5"/>
        <v>1. Forward Hedge</v>
      </c>
      <c r="L38" s="100" t="str">
        <f t="shared" si="6"/>
        <v>1. Forward Hedge</v>
      </c>
      <c r="M38" s="1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ht="15.75" customHeight="1">
      <c r="A39" s="77"/>
      <c r="B39" s="89"/>
      <c r="C39" s="90">
        <f t="shared" si="1"/>
        <v>-0.1</v>
      </c>
      <c r="D39" s="122">
        <f>future_spot_price_payable*contract_notional_value_payable</f>
        <v>0</v>
      </c>
      <c r="E39" s="56">
        <f>$D39+(forward_price_payable-future_spot_price_payable)*contract_notional_value_payable</f>
        <v>0</v>
      </c>
      <c r="F39" s="123">
        <f t="shared" si="2"/>
        <v>0</v>
      </c>
      <c r="G39" s="124">
        <f t="shared" si="3"/>
        <v>0</v>
      </c>
      <c r="H39" s="125">
        <f>(forward_price_payable-future_spot_price_payable)*contract_notional_value_payable</f>
        <v>0</v>
      </c>
      <c r="I39" s="126">
        <f t="shared" si="4"/>
        <v>0</v>
      </c>
      <c r="J39" s="127">
        <f>F$30+max(0,(future_spot_price_payable-call_strike)*contract_notional_value_payable)</f>
        <v>0</v>
      </c>
      <c r="K39" s="128" t="str">
        <f t="shared" si="5"/>
        <v>1. Forward Hedge</v>
      </c>
      <c r="L39" s="100" t="str">
        <f t="shared" si="6"/>
        <v>1. Forward Hedge</v>
      </c>
      <c r="M39" s="1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ht="15.75" customHeight="1">
      <c r="A40" s="77"/>
      <c r="B40" s="89"/>
      <c r="C40" s="90">
        <f t="shared" si="1"/>
        <v>-0.05</v>
      </c>
      <c r="D40" s="122">
        <f>future_spot_price_payable*contract_notional_value_payable</f>
        <v>0</v>
      </c>
      <c r="E40" s="56">
        <f>$D40+(forward_price_payable-future_spot_price_payable)*contract_notional_value_payable</f>
        <v>0</v>
      </c>
      <c r="F40" s="123">
        <f t="shared" si="2"/>
        <v>0</v>
      </c>
      <c r="G40" s="124">
        <f t="shared" si="3"/>
        <v>0</v>
      </c>
      <c r="H40" s="125">
        <f>(forward_price_payable-future_spot_price_payable)*contract_notional_value_payable</f>
        <v>0</v>
      </c>
      <c r="I40" s="126">
        <f t="shared" si="4"/>
        <v>0</v>
      </c>
      <c r="J40" s="127">
        <f>F$30+max(0,(future_spot_price_payable-call_strike)*contract_notional_value_payable)</f>
        <v>0</v>
      </c>
      <c r="K40" s="128" t="str">
        <f t="shared" si="5"/>
        <v>1. Forward Hedge</v>
      </c>
      <c r="L40" s="98" t="str">
        <f t="shared" si="6"/>
        <v>1. Forward Hedge</v>
      </c>
      <c r="M40" s="1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ht="15.75" customHeight="1">
      <c r="A41" s="77"/>
      <c r="B41" s="89"/>
      <c r="C41" s="90" t="str">
        <f>F7</f>
        <v/>
      </c>
      <c r="D41" s="122">
        <f>future_spot_price_payable*contract_notional_value_payable</f>
        <v>0</v>
      </c>
      <c r="E41" s="56">
        <f>$D41+(forward_price_payable-future_spot_price_payable)*contract_notional_value_payable</f>
        <v>0</v>
      </c>
      <c r="F41" s="123">
        <f t="shared" si="2"/>
        <v>0</v>
      </c>
      <c r="G41" s="124">
        <f t="shared" si="3"/>
        <v>0</v>
      </c>
      <c r="H41" s="125">
        <f>(forward_price_payable-future_spot_price_payable)*contract_notional_value_payable</f>
        <v>0</v>
      </c>
      <c r="I41" s="126">
        <f t="shared" si="4"/>
        <v>0</v>
      </c>
      <c r="J41" s="127">
        <f>F$30+max(0,(future_spot_price_payable-call_strike)*contract_notional_value_payable)</f>
        <v>0</v>
      </c>
      <c r="K41" s="128" t="str">
        <f t="shared" si="5"/>
        <v>1. Forward Hedge</v>
      </c>
      <c r="L41" s="98" t="str">
        <f t="shared" si="6"/>
        <v>1. Forward Hedge</v>
      </c>
      <c r="M41" s="13" t="s">
        <v>39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ht="15.75" customHeight="1">
      <c r="A42" s="77"/>
      <c r="B42" s="89"/>
      <c r="C42" s="90">
        <f t="shared" ref="C42:C47" si="7">C41+0.05</f>
        <v>0.05</v>
      </c>
      <c r="D42" s="122">
        <f>future_spot_price_payable*contract_notional_value_payable</f>
        <v>0</v>
      </c>
      <c r="E42" s="56">
        <f>$D42+(forward_price_payable-future_spot_price_payable)*contract_notional_value_payable</f>
        <v>0</v>
      </c>
      <c r="F42" s="123">
        <f t="shared" si="2"/>
        <v>0</v>
      </c>
      <c r="G42" s="124">
        <f t="shared" si="3"/>
        <v>0</v>
      </c>
      <c r="H42" s="125">
        <f>(forward_price_payable-future_spot_price_payable)*contract_notional_value_payable</f>
        <v>0</v>
      </c>
      <c r="I42" s="126">
        <f t="shared" si="4"/>
        <v>0</v>
      </c>
      <c r="J42" s="127">
        <f>F$30+max(0,(future_spot_price_payable-call_strike)*contract_notional_value_payable)</f>
        <v>0</v>
      </c>
      <c r="K42" s="128" t="str">
        <f t="shared" si="5"/>
        <v>1. Forward Hedge</v>
      </c>
      <c r="L42" s="98" t="str">
        <f t="shared" si="6"/>
        <v>1. Forward Hedge</v>
      </c>
      <c r="M42" s="13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ht="15.75" customHeight="1">
      <c r="A43" s="77"/>
      <c r="B43" s="89"/>
      <c r="C43" s="90">
        <f t="shared" si="7"/>
        <v>0.1</v>
      </c>
      <c r="D43" s="122">
        <f>future_spot_price_payable*contract_notional_value_payable</f>
        <v>0</v>
      </c>
      <c r="E43" s="56">
        <f>$D43+(forward_price_payable-future_spot_price_payable)*contract_notional_value_payable</f>
        <v>0</v>
      </c>
      <c r="F43" s="123">
        <f t="shared" si="2"/>
        <v>0</v>
      </c>
      <c r="G43" s="124">
        <f t="shared" si="3"/>
        <v>0</v>
      </c>
      <c r="H43" s="125">
        <f>(forward_price_payable-future_spot_price_payable)*contract_notional_value_payable</f>
        <v>0</v>
      </c>
      <c r="I43" s="126">
        <f t="shared" si="4"/>
        <v>0</v>
      </c>
      <c r="J43" s="127">
        <f>F$30+max(0,(future_spot_price_payable-call_strike)*contract_notional_value_payable)</f>
        <v>0</v>
      </c>
      <c r="K43" s="128" t="str">
        <f t="shared" si="5"/>
        <v>1. Forward Hedge</v>
      </c>
      <c r="L43" s="98" t="str">
        <f t="shared" si="6"/>
        <v>1. Forward Hedge</v>
      </c>
      <c r="M43" s="13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ht="15.75" customHeight="1">
      <c r="A44" s="77"/>
      <c r="B44" s="89"/>
      <c r="C44" s="90">
        <f t="shared" si="7"/>
        <v>0.15</v>
      </c>
      <c r="D44" s="122">
        <f>future_spot_price_payable*contract_notional_value_payable</f>
        <v>0</v>
      </c>
      <c r="E44" s="56">
        <f>$D44+(forward_price_payable-future_spot_price_payable)*contract_notional_value_payable</f>
        <v>0</v>
      </c>
      <c r="F44" s="123">
        <f t="shared" si="2"/>
        <v>0</v>
      </c>
      <c r="G44" s="124">
        <f t="shared" si="3"/>
        <v>0</v>
      </c>
      <c r="H44" s="125">
        <f>(forward_price_payable-future_spot_price_payable)*contract_notional_value_payable</f>
        <v>0</v>
      </c>
      <c r="I44" s="126">
        <f t="shared" si="4"/>
        <v>0</v>
      </c>
      <c r="J44" s="127">
        <f>F$30+max(0,(future_spot_price_payable-call_strike)*contract_notional_value_payable)</f>
        <v>0</v>
      </c>
      <c r="K44" s="128" t="str">
        <f t="shared" si="5"/>
        <v>1. Forward Hedge</v>
      </c>
      <c r="L44" s="100" t="str">
        <f t="shared" si="6"/>
        <v>1. Forward Hedge</v>
      </c>
      <c r="M44" s="13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ht="15.75" customHeight="1">
      <c r="A45" s="77"/>
      <c r="B45" s="89"/>
      <c r="C45" s="90">
        <f t="shared" si="7"/>
        <v>0.2</v>
      </c>
      <c r="D45" s="122">
        <f>future_spot_price_payable*contract_notional_value_payable</f>
        <v>0</v>
      </c>
      <c r="E45" s="56">
        <f>$D45+(forward_price_payable-future_spot_price_payable)*contract_notional_value_payable</f>
        <v>0</v>
      </c>
      <c r="F45" s="123">
        <f t="shared" si="2"/>
        <v>0</v>
      </c>
      <c r="G45" s="124">
        <f t="shared" si="3"/>
        <v>0</v>
      </c>
      <c r="H45" s="125">
        <f>(forward_price_payable-future_spot_price_payable)*contract_notional_value_payable</f>
        <v>0</v>
      </c>
      <c r="I45" s="126">
        <f t="shared" si="4"/>
        <v>0</v>
      </c>
      <c r="J45" s="127">
        <f>F$30+max(0,(future_spot_price_payable-call_strike)*contract_notional_value_payable)</f>
        <v>0</v>
      </c>
      <c r="K45" s="128" t="str">
        <f t="shared" si="5"/>
        <v>1. Forward Hedge</v>
      </c>
      <c r="L45" s="100" t="str">
        <f t="shared" si="6"/>
        <v>1. Forward Hedge</v>
      </c>
      <c r="M45" s="13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ht="15.75" customHeight="1">
      <c r="A46" s="77"/>
      <c r="B46" s="89"/>
      <c r="C46" s="90">
        <f t="shared" si="7"/>
        <v>0.25</v>
      </c>
      <c r="D46" s="122">
        <f>future_spot_price_payable*contract_notional_value_payable</f>
        <v>0</v>
      </c>
      <c r="E46" s="56">
        <f>$D46+(forward_price_payable-future_spot_price_payable)*contract_notional_value_payable</f>
        <v>0</v>
      </c>
      <c r="F46" s="123">
        <f t="shared" si="2"/>
        <v>0</v>
      </c>
      <c r="G46" s="124">
        <f t="shared" si="3"/>
        <v>0</v>
      </c>
      <c r="H46" s="125">
        <f>(forward_price_payable-future_spot_price_payable)*contract_notional_value_payable</f>
        <v>0</v>
      </c>
      <c r="I46" s="126">
        <f t="shared" si="4"/>
        <v>0</v>
      </c>
      <c r="J46" s="127">
        <f>F$30+max(0,(future_spot_price_payable-call_strike)*contract_notional_value_payable)</f>
        <v>0</v>
      </c>
      <c r="K46" s="128" t="str">
        <f t="shared" si="5"/>
        <v>1. Forward Hedge</v>
      </c>
      <c r="L46" s="100" t="str">
        <f t="shared" si="6"/>
        <v>1. Forward Hedge</v>
      </c>
      <c r="M46" s="13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ht="15.75" customHeight="1">
      <c r="A47" s="77"/>
      <c r="B47" s="101"/>
      <c r="C47" s="102">
        <f t="shared" si="7"/>
        <v>0.3</v>
      </c>
      <c r="D47" s="129">
        <f>future_spot_price_payable*contract_notional_value_payable</f>
        <v>0</v>
      </c>
      <c r="E47" s="130">
        <f>$D47+(forward_price_payable-future_spot_price_payable)*contract_notional_value_payable</f>
        <v>0</v>
      </c>
      <c r="F47" s="131">
        <f t="shared" si="2"/>
        <v>0</v>
      </c>
      <c r="G47" s="132">
        <f t="shared" si="3"/>
        <v>0</v>
      </c>
      <c r="H47" s="133">
        <f>(forward_price_payable-future_spot_price_payable)*contract_notional_value_payable</f>
        <v>0</v>
      </c>
      <c r="I47" s="134">
        <f t="shared" si="4"/>
        <v>0</v>
      </c>
      <c r="J47" s="135">
        <f>F$30+max(0,(future_spot_price_payable-call_strike)*contract_notional_value_payable)</f>
        <v>0</v>
      </c>
      <c r="K47" s="136" t="str">
        <f t="shared" si="5"/>
        <v>1. Forward Hedge</v>
      </c>
      <c r="L47" s="110" t="str">
        <f t="shared" si="6"/>
        <v>1. Forward Hedge</v>
      </c>
      <c r="M47" s="13" t="s">
        <v>55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ht="15.75" customHeight="1">
      <c r="A48" s="1"/>
      <c r="B48" s="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ht="15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ht="15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ht="15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ht="15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ht="15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ht="15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ht="15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ht="15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ht="15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ht="15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ht="15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ht="15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ht="15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ht="15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ht="15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ht="15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ht="15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ht="15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ht="15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ht="15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ht="15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ht="15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ht="15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ht="15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ht="15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ht="15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ht="15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ht="15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ht="15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ht="15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ht="15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ht="15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ht="15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ht="15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ht="15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ht="15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ht="15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ht="15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ht="15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ht="15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ht="15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ht="15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ht="15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ht="15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ht="15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ht="15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ht="15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ht="15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ht="15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ht="15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ht="15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ht="15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ht="15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ht="15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ht="15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ht="15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ht="15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ht="15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ht="15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ht="15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ht="15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ht="15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ht="15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ht="15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ht="15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ht="15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ht="15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ht="15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ht="15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ht="15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ht="15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ht="15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ht="15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ht="15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ht="15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ht="15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ht="15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ht="15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ht="15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ht="15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ht="15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ht="15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ht="15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ht="15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ht="15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ht="15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ht="15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ht="15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ht="15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ht="15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ht="15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ht="15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ht="15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ht="15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ht="15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ht="15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ht="15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ht="15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ht="15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ht="15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ht="15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ht="15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ht="15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ht="15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ht="15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ht="15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ht="15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ht="15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ht="15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ht="15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ht="15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ht="15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ht="15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ht="15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ht="15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ht="15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ht="15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ht="15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ht="15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ht="15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ht="15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ht="15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ht="15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ht="15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ht="15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ht="15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ht="15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ht="15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ht="15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ht="15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ht="15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ht="15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ht="15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ht="15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ht="15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ht="15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ht="15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ht="15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ht="15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ht="15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ht="15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ht="15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ht="15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ht="15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ht="15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ht="15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ht="15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ht="15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ht="15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ht="15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ht="15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ht="15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C21:E21"/>
    <mergeCell ref="C22:E22"/>
    <mergeCell ref="C23:E23"/>
    <mergeCell ref="C24:E24"/>
    <mergeCell ref="C25:E25"/>
    <mergeCell ref="B35:B47"/>
    <mergeCell ref="C3:J3"/>
    <mergeCell ref="C5:E5"/>
    <mergeCell ref="C17:J17"/>
    <mergeCell ref="C18:E18"/>
    <mergeCell ref="G18:J18"/>
    <mergeCell ref="C20:J20"/>
    <mergeCell ref="G21:J21"/>
    <mergeCell ref="C33:C34"/>
    <mergeCell ref="D33:G33"/>
    <mergeCell ref="H33:J33"/>
    <mergeCell ref="K33:L33"/>
    <mergeCell ref="G22:J22"/>
    <mergeCell ref="G25:J25"/>
    <mergeCell ref="G26:J26"/>
    <mergeCell ref="C28:J28"/>
    <mergeCell ref="C29:E29"/>
    <mergeCell ref="C30:E30"/>
    <mergeCell ref="G31:J31"/>
  </mergeCells>
  <conditionalFormatting sqref="D35:G47">
    <cfRule type="colorScale" priority="1">
      <colorScale>
        <cfvo type="min"/>
        <cfvo type="max"/>
        <color rgb="FFD9EAD3"/>
        <color rgb="FFF4CCCC"/>
      </colorScale>
    </cfRule>
  </conditionalFormatting>
  <drawing r:id="rId1"/>
</worksheet>
</file>